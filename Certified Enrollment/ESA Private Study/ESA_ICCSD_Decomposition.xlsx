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480thcompany.sharepoint.com/sites/480BackOffice/Shared Documents/Clients - Contracts/ICCSD/Enrollment Forecast Analysis/ESA Private Study/"/>
    </mc:Choice>
  </mc:AlternateContent>
  <xr:revisionPtr revIDLastSave="0" documentId="11_20C537E15058A81D47F3F8EA18EEAB3CDA9C9338" xr6:coauthVersionLast="47" xr6:coauthVersionMax="47" xr10:uidLastSave="{00000000-0000-0000-0000-000000000000}"/>
  <bookViews>
    <workbookView xWindow="-110" yWindow="-110" windowWidth="38620" windowHeight="21100" tabRatio="500" activeTab="3" xr2:uid="{00000000-000D-0000-FFFF-FFFF00000000}"/>
  </bookViews>
  <sheets>
    <sheet name="Summary" sheetId="1" r:id="rId1"/>
    <sheet name="Mix &amp; Decomposition" sheetId="2" r:id="rId2"/>
    <sheet name="Forecast Check" sheetId="3" r:id="rId3"/>
    <sheet name="Sources &amp; Metho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3" l="1"/>
  <c r="E7" i="3"/>
  <c r="E6" i="3"/>
  <c r="E5" i="3"/>
  <c r="F13" i="2"/>
  <c r="E10" i="2"/>
  <c r="D10" i="2"/>
  <c r="G9" i="2"/>
  <c r="F9" i="2"/>
  <c r="E9" i="2"/>
  <c r="D9" i="2"/>
  <c r="F8" i="2"/>
  <c r="G8" i="2" s="1"/>
  <c r="E8" i="2"/>
  <c r="D8" i="2"/>
  <c r="E7" i="2"/>
  <c r="F6" i="2" s="1"/>
  <c r="D7" i="2"/>
  <c r="E6" i="2"/>
  <c r="D6" i="2"/>
  <c r="F5" i="2"/>
  <c r="E5" i="2"/>
  <c r="D5" i="2"/>
  <c r="F4" i="2"/>
  <c r="E4" i="2"/>
  <c r="D4" i="2"/>
  <c r="B8" i="1"/>
  <c r="B7" i="1"/>
  <c r="B6" i="1"/>
  <c r="F10" i="2" l="1"/>
  <c r="F7" i="2"/>
  <c r="B12" i="1" l="1"/>
  <c r="B10" i="1"/>
  <c r="G10" i="2"/>
  <c r="B15" i="1"/>
  <c r="B13" i="1"/>
  <c r="B16" i="1" l="1"/>
  <c r="B11" i="1"/>
</calcChain>
</file>

<file path=xl/sharedStrings.xml><?xml version="1.0" encoding="utf-8"?>
<sst xmlns="http://schemas.openxmlformats.org/spreadsheetml/2006/main" count="64" uniqueCount="63">
  <si>
    <t>ESA &amp; ICCSD Enrollment — Decomposition Summary</t>
  </si>
  <si>
    <t>Question: of ICCSD-resident students using an ESA, how many would have attended ICCSD public schools absent ESA?</t>
  </si>
  <si>
    <t>Scope: Iowa City Community School District boundary (Iowa DE district 3141). 2022-23 = last pre-ESA year; ESA began 2023-24, universal by 2025-26.</t>
  </si>
  <si>
    <t>HEADLINE</t>
  </si>
  <si>
    <t>ICCSD-resident students using ESA (2025-26)</t>
  </si>
  <si>
    <t>ICCSD-boundary private enrollment growth, 2022-23 → 2025-26</t>
  </si>
  <si>
    <t>ICCSD public certified change, same period</t>
  </si>
  <si>
    <t>UPPER BOUND on ESA-induced public→private shift (excess private vs constant pre-ESA mix)</t>
  </si>
  <si>
    <t xml:space="preserve">   as % of ESA users</t>
  </si>
  <si>
    <t xml:space="preserve">   after removing newly-accredited existing schools (students already non-public)</t>
  </si>
  <si>
    <t xml:space="preserve">   that, as % of ESA users</t>
  </si>
  <si>
    <t>→ INFRAMARGINAL ESA users (already would be private; bucket A), at least</t>
  </si>
  <si>
    <t xml:space="preserve">   as % of ESA users (lower bound)</t>
  </si>
  <si>
    <t>Bottom line: ICCSD-boundary private seats grew by only a few hundred while 1,440 residents use ESA and public enrollment was ~flat — so the large majority of ESA users were already in private school. The realistic public→private transfer is on the order of ~120–190 students over three years (&lt;1.5% of the district), and even that includes families who moved in or would have chosen private regardless. ICCSD's enrollment plateau is demographic (Johnson County births peaked 2016) and predates ESA — see Forecast Check.</t>
  </si>
  <si>
    <t>Resident enrollment mix &amp; decomposition (ICCSD boundary, district 3141)</t>
  </si>
  <si>
    <t>School year</t>
  </si>
  <si>
    <t>Public certified</t>
  </si>
  <si>
    <t>Private (dist 3141)</t>
  </si>
  <si>
    <t>Public + private</t>
  </si>
  <si>
    <t>Private share</t>
  </si>
  <si>
    <t>Excess private vs pre-ESA mix</t>
  </si>
  <si>
    <t xml:space="preserve">   as % of ESA</t>
  </si>
  <si>
    <t>ESA residents</t>
  </si>
  <si>
    <t>2019-20</t>
  </si>
  <si>
    <t>2020-21</t>
  </si>
  <si>
    <t>2021-22</t>
  </si>
  <si>
    <t>2022-23</t>
  </si>
  <si>
    <t>2023-24</t>
  </si>
  <si>
    <t>2024-25</t>
  </si>
  <si>
    <t>2025-26</t>
  </si>
  <si>
    <t>Newly-accredited / new schools entering certified list AFTER 2022-23 (students already non-public): Montessori 53 + Hillside 31 + Tamarack(microschool) 52</t>
  </si>
  <si>
    <t>Established-school private growth 2022-23→2025-26 (Regina, Faith, Willowwind, Heritage); Regina alone +130</t>
  </si>
  <si>
    <t>Notes: 2019-20 private excludes Heritage Christian (~150; not parsed that year) so treat 2020-21+ as the reliable pre-ESA baseline. 'Excess private' holds the 2022-23 private share constant against each year's resident pool; it is an UPPER bound on net movement into private because it still contains in-migration and would-have-gone-private families.</t>
  </si>
  <si>
    <t>Is the public enrollment 'miss' demographic and pre-ESA? (Yes)</t>
  </si>
  <si>
    <t>Each forecast vintage's projection for 2024-25 vs actual. Bond-era forecasts (made 2015-2016, before ESA) over-projected by 1,100-1,800; forecasts made in 2023 are accurate. The shortfall is over-projection + demography, not ESA.</t>
  </si>
  <si>
    <t>Forecast vintage</t>
  </si>
  <si>
    <t>Made (date)</t>
  </si>
  <si>
    <t>Projected 2024-25</t>
  </si>
  <si>
    <t>Actual 2024-25</t>
  </si>
  <si>
    <t>Over/(under) actual</t>
  </si>
  <si>
    <t>DeJong-Richter (bond-era)</t>
  </si>
  <si>
    <t>Feb 2015</t>
  </si>
  <si>
    <t>Nov 2016</t>
  </si>
  <si>
    <t>Granville</t>
  </si>
  <si>
    <t>Jan 2023</t>
  </si>
  <si>
    <t>ISFIS/Piper Sandler</t>
  </si>
  <si>
    <t>Nov 2023</t>
  </si>
  <si>
    <t>ESA began 2023-24. Forecasts made BEFORE ESA over-projected; the forecast made just after ESA launched (Nov 2023) was within ~200. If ESA were draining the district, the post-ESA forecast would over-, not under-, shoot. Johnson County births peaked in 2016, feeding smaller K classes from ~2022 — the demographic engine of the plateau.</t>
  </si>
  <si>
    <t>Sources &amp; method</t>
  </si>
  <si>
    <t>IDENTIFICATION RULE (governs this analysis):</t>
  </si>
  <si>
    <t>Rising ESA counts and schools appearing in the data are NOT evidence of transfer. A transfer requires net new bodies in private seats beyond what demography predicts, while public underperforms. Only that overlap is candidate transfer — and it still overstates it. See IDENTIFICATION.md.</t>
  </si>
  <si>
    <t>DATA SOURCES:</t>
  </si>
  <si>
    <t>Public &amp; private certified enrollment, ESA-by-resident-district: Iowa Dept of Education certified enrollment files (data/Public &amp; Private Certified Enrollment).</t>
  </si>
  <si>
    <t>ICCSD-boundary private series: data/iccsd_boundary_private_enrollment_3141.csv (district 3141, built from certified nonpublic files).</t>
  </si>
  <si>
    <t>ESA statewide counts/awards/eligibility: Iowa DE press releases &amp; ESA program page (data/Iowa_DE_Admin).</t>
  </si>
  <si>
    <t>Demographics (births, ACS school-age population): forecast workbook + data/Demographics (ACS B09001).</t>
  </si>
  <si>
    <t>Forecast vintages &amp; actuals: ICCSD_Enrollment_Forecast_vs_Actual.xlsx (RSP→DeJong→Granville→Woolpert; bond Official Statements; Iowa DoE state projections).</t>
  </si>
  <si>
    <t>KEY METHOD CHOICES:</t>
  </si>
  <si>
    <t>Base year 2022-23 (last pre-ESA). Constant-share counterfactual: hold 2022-23 private share of resident pool, apply to each later year's pool; excess = candidate net shift into private (upper bound).</t>
  </si>
  <si>
    <t>Cross-check: public certified + private (dist 3141) ≈ ACS school-age 5-17 each year, confirming homeschool/other is small and the pool is well-measured.</t>
  </si>
  <si>
    <t>CAVEATS:</t>
  </si>
  <si>
    <t>District-3141 private boundary ≠ exact ICCSD-resident ESA population (some residents attend metro/out-of-area private; some boundary-private students are non-residents). Directional, not exact.</t>
  </si>
  <si>
    <t>ESA-by-school-of-attendance and open-enrollment-by-receiving-district remain ungathered (binary xlsx / no public dashboard).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</si>
</sst>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;\(#,##0\);\-"/>
    <numFmt numFmtId="166" formatCode="\+#,##0"/>
    <numFmt numFmtId="167" formatCode="\+#,##0;\(#,##0\);\-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i/>
      <sz val="8"/>
      <color rgb="FF595959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9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3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3" fontId="7" fillId="0" borderId="1" xfId="0" applyNumberFormat="1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3" fontId="7" fillId="2" borderId="1" xfId="0" applyNumberFormat="1" applyFont="1" applyFill="1" applyBorder="1"/>
    <xf numFmtId="3" fontId="5" fillId="2" borderId="1" xfId="0" applyNumberFormat="1" applyFont="1" applyFill="1" applyBorder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0" fontId="0" fillId="2" borderId="1" xfId="0" applyFill="1" applyBorder="1"/>
    <xf numFmtId="9" fontId="5" fillId="0" borderId="1" xfId="0" applyNumberFormat="1" applyFont="1" applyBorder="1"/>
    <xf numFmtId="0" fontId="5" fillId="4" borderId="1" xfId="0" applyFont="1" applyFill="1" applyBorder="1" applyAlignment="1">
      <alignment horizontal="center"/>
    </xf>
    <xf numFmtId="3" fontId="7" fillId="4" borderId="1" xfId="0" applyNumberFormat="1" applyFont="1" applyFill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9" fontId="5" fillId="4" borderId="1" xfId="0" applyNumberFormat="1" applyFont="1" applyFill="1" applyBorder="1"/>
    <xf numFmtId="3" fontId="7" fillId="0" borderId="0" xfId="0" applyNumberFormat="1" applyFont="1"/>
    <xf numFmtId="166" fontId="5" fillId="0" borderId="0" xfId="0" applyNumberFormat="1" applyFont="1"/>
    <xf numFmtId="0" fontId="5" fillId="0" borderId="1" xfId="0" applyFont="1" applyBorder="1"/>
    <xf numFmtId="167" fontId="5" fillId="0" borderId="1" xfId="0" applyNumberFormat="1" applyFont="1" applyBorder="1"/>
    <xf numFmtId="0" fontId="4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zoomScaleNormal="100" workbookViewId="0">
      <selection activeCell="A17" sqref="A17"/>
    </sheetView>
  </sheetViews>
  <sheetFormatPr defaultColWidth="8.6328125" defaultRowHeight="14.5" x14ac:dyDescent="0.35"/>
  <cols>
    <col min="1" max="1" width="72" customWidth="1"/>
    <col min="2" max="2" width="14" customWidth="1"/>
  </cols>
  <sheetData>
    <row r="1" spans="1:2" ht="18" x14ac:dyDescent="0.4">
      <c r="A1" s="4" t="s">
        <v>0</v>
      </c>
    </row>
    <row r="2" spans="1:2" x14ac:dyDescent="0.35">
      <c r="A2" s="5" t="s">
        <v>1</v>
      </c>
    </row>
    <row r="3" spans="1:2" x14ac:dyDescent="0.35">
      <c r="A3" s="6" t="s">
        <v>2</v>
      </c>
    </row>
    <row r="5" spans="1:2" x14ac:dyDescent="0.35">
      <c r="A5" s="7" t="s">
        <v>3</v>
      </c>
    </row>
    <row r="6" spans="1:2" x14ac:dyDescent="0.35">
      <c r="A6" s="8" t="s">
        <v>4</v>
      </c>
      <c r="B6" s="9">
        <f>'Mix &amp; Decomposition'!H10</f>
        <v>1440</v>
      </c>
    </row>
    <row r="7" spans="1:2" x14ac:dyDescent="0.35">
      <c r="A7" s="8" t="s">
        <v>5</v>
      </c>
      <c r="B7" s="9">
        <f>'Mix &amp; Decomposition'!C10-'Mix &amp; Decomposition'!C7</f>
        <v>331</v>
      </c>
    </row>
    <row r="8" spans="1:2" x14ac:dyDescent="0.35">
      <c r="A8" s="8" t="s">
        <v>6</v>
      </c>
      <c r="B8" s="9">
        <f>'Mix &amp; Decomposition'!B10-'Mix &amp; Decomposition'!B7</f>
        <v>-70.199999999998909</v>
      </c>
    </row>
    <row r="9" spans="1:2" x14ac:dyDescent="0.35">
      <c r="A9" s="8"/>
    </row>
    <row r="10" spans="1:2" x14ac:dyDescent="0.35">
      <c r="A10" s="8" t="s">
        <v>7</v>
      </c>
      <c r="B10" s="9">
        <f>'Mix &amp; Decomposition'!F10</f>
        <v>311.11274453357896</v>
      </c>
    </row>
    <row r="11" spans="1:2" x14ac:dyDescent="0.35">
      <c r="A11" s="8" t="s">
        <v>8</v>
      </c>
      <c r="B11" s="10">
        <f>'Mix &amp; Decomposition'!G10</f>
        <v>0.21605051703720762</v>
      </c>
    </row>
    <row r="12" spans="1:2" x14ac:dyDescent="0.35">
      <c r="A12" s="8" t="s">
        <v>9</v>
      </c>
      <c r="B12" s="9">
        <f>'Mix &amp; Decomposition'!F10-'Mix &amp; Decomposition'!F12</f>
        <v>175.11274453357896</v>
      </c>
    </row>
    <row r="13" spans="1:2" x14ac:dyDescent="0.35">
      <c r="A13" s="8" t="s">
        <v>10</v>
      </c>
      <c r="B13" s="10">
        <f>('Mix &amp; Decomposition'!F10-'Mix &amp; Decomposition'!F12)/'Mix &amp; Decomposition'!H10</f>
        <v>0.12160607259276317</v>
      </c>
    </row>
    <row r="14" spans="1:2" x14ac:dyDescent="0.35">
      <c r="A14" s="8"/>
    </row>
    <row r="15" spans="1:2" x14ac:dyDescent="0.35">
      <c r="A15" s="8" t="s">
        <v>11</v>
      </c>
      <c r="B15" s="9">
        <f>'Mix &amp; Decomposition'!H10-'Mix &amp; Decomposition'!F10</f>
        <v>1128.887255466421</v>
      </c>
    </row>
    <row r="16" spans="1:2" x14ac:dyDescent="0.35">
      <c r="A16" s="8" t="s">
        <v>12</v>
      </c>
      <c r="B16" s="10">
        <f>1-'Mix &amp; Decomposition'!G10</f>
        <v>0.78394948296279243</v>
      </c>
    </row>
    <row r="18" spans="1:2" ht="15" customHeight="1" x14ac:dyDescent="0.35">
      <c r="A18" s="3" t="s">
        <v>13</v>
      </c>
      <c r="B18" s="3"/>
    </row>
    <row r="19" spans="1:2" x14ac:dyDescent="0.35">
      <c r="A19" s="3"/>
      <c r="B19" s="3"/>
    </row>
    <row r="20" spans="1:2" x14ac:dyDescent="0.35">
      <c r="A20" s="3"/>
      <c r="B20" s="3"/>
    </row>
    <row r="21" spans="1:2" x14ac:dyDescent="0.35">
      <c r="A21" s="3"/>
      <c r="B21" s="3"/>
    </row>
    <row r="22" spans="1:2" x14ac:dyDescent="0.35">
      <c r="A22" s="3"/>
      <c r="B22" s="3"/>
    </row>
    <row r="23" spans="1:2" x14ac:dyDescent="0.35">
      <c r="A23" s="3"/>
      <c r="B23" s="3"/>
    </row>
    <row r="24" spans="1:2" x14ac:dyDescent="0.35">
      <c r="A24" s="3"/>
      <c r="B24" s="3"/>
    </row>
    <row r="25" spans="1:2" x14ac:dyDescent="0.35">
      <c r="A25" s="3"/>
      <c r="B25" s="3"/>
    </row>
    <row r="26" spans="1:2" x14ac:dyDescent="0.35">
      <c r="A26" s="3"/>
      <c r="B26" s="3"/>
    </row>
  </sheetData>
  <mergeCells count="1">
    <mergeCell ref="A18:B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zoomScaleNormal="100" workbookViewId="0">
      <selection activeCell="D14" sqref="D14"/>
    </sheetView>
  </sheetViews>
  <sheetFormatPr defaultColWidth="8.6328125" defaultRowHeight="14.5" x14ac:dyDescent="0.35"/>
  <cols>
    <col min="1" max="1" width="12" customWidth="1"/>
    <col min="2" max="2" width="15" customWidth="1"/>
    <col min="3" max="3" width="16" customWidth="1"/>
    <col min="4" max="4" width="15" customWidth="1"/>
    <col min="5" max="5" width="12" customWidth="1"/>
    <col min="6" max="6" width="18" customWidth="1"/>
    <col min="7" max="7" width="11" customWidth="1"/>
    <col min="8" max="8" width="12" customWidth="1"/>
  </cols>
  <sheetData>
    <row r="1" spans="1:8" ht="18" x14ac:dyDescent="0.4">
      <c r="A1" s="4" t="s">
        <v>14</v>
      </c>
    </row>
    <row r="3" spans="1:8" ht="28.5" x14ac:dyDescent="0.35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</row>
    <row r="4" spans="1:8" x14ac:dyDescent="0.35">
      <c r="A4" s="12" t="s">
        <v>23</v>
      </c>
      <c r="B4" s="13">
        <v>14571.6</v>
      </c>
      <c r="C4" s="13">
        <v>911</v>
      </c>
      <c r="D4" s="14">
        <f t="shared" ref="D4:D10" si="0">B4+C4</f>
        <v>15482.6</v>
      </c>
      <c r="E4" s="15">
        <f t="shared" ref="E4:E10" si="1">C4/D4</f>
        <v>5.8840246470231096E-2</v>
      </c>
      <c r="F4" s="16">
        <f t="shared" ref="F4:F10" si="2">C4-($E$7*D4)</f>
        <v>-269.62278176537575</v>
      </c>
      <c r="G4" s="17"/>
      <c r="H4" s="17"/>
    </row>
    <row r="5" spans="1:8" x14ac:dyDescent="0.35">
      <c r="A5" s="12" t="s">
        <v>24</v>
      </c>
      <c r="B5" s="13">
        <v>14283.8</v>
      </c>
      <c r="C5" s="13">
        <v>1153</v>
      </c>
      <c r="D5" s="14">
        <f t="shared" si="0"/>
        <v>15436.8</v>
      </c>
      <c r="E5" s="15">
        <f t="shared" si="1"/>
        <v>7.4691645936981757E-2</v>
      </c>
      <c r="F5" s="16">
        <f t="shared" si="2"/>
        <v>-24.130311288527082</v>
      </c>
      <c r="G5" s="17"/>
      <c r="H5" s="17"/>
    </row>
    <row r="6" spans="1:8" x14ac:dyDescent="0.35">
      <c r="A6" s="12" t="s">
        <v>25</v>
      </c>
      <c r="B6" s="13">
        <v>14395</v>
      </c>
      <c r="C6" s="13">
        <v>1187</v>
      </c>
      <c r="D6" s="14">
        <f t="shared" si="0"/>
        <v>15582</v>
      </c>
      <c r="E6" s="15">
        <f t="shared" si="1"/>
        <v>7.6177640867667817E-2</v>
      </c>
      <c r="F6" s="16">
        <f t="shared" si="2"/>
        <v>-1.2025102675315793</v>
      </c>
      <c r="G6" s="17"/>
      <c r="H6" s="17"/>
    </row>
    <row r="7" spans="1:8" x14ac:dyDescent="0.35">
      <c r="A7" s="18" t="s">
        <v>26</v>
      </c>
      <c r="B7" s="19">
        <v>14439.8</v>
      </c>
      <c r="C7" s="19">
        <v>1192</v>
      </c>
      <c r="D7" s="20">
        <f t="shared" si="0"/>
        <v>15631.8</v>
      </c>
      <c r="E7" s="21">
        <f t="shared" si="1"/>
        <v>7.6254813904988547E-2</v>
      </c>
      <c r="F7" s="22">
        <f t="shared" si="2"/>
        <v>0</v>
      </c>
      <c r="G7" s="23"/>
      <c r="H7" s="23"/>
    </row>
    <row r="8" spans="1:8" x14ac:dyDescent="0.35">
      <c r="A8" s="12" t="s">
        <v>27</v>
      </c>
      <c r="B8" s="13">
        <v>14378.7</v>
      </c>
      <c r="C8" s="13">
        <v>1302</v>
      </c>
      <c r="D8" s="14">
        <f t="shared" si="0"/>
        <v>15680.7</v>
      </c>
      <c r="E8" s="15">
        <f t="shared" si="1"/>
        <v>8.3032007499665189E-2</v>
      </c>
      <c r="F8" s="16">
        <f t="shared" si="2"/>
        <v>106.27113960004613</v>
      </c>
      <c r="G8" s="24">
        <f>F8/H8</f>
        <v>0.22562874649691322</v>
      </c>
      <c r="H8" s="13">
        <v>471</v>
      </c>
    </row>
    <row r="9" spans="1:8" x14ac:dyDescent="0.35">
      <c r="A9" s="12" t="s">
        <v>28</v>
      </c>
      <c r="B9" s="13">
        <v>14550.6</v>
      </c>
      <c r="C9" s="13">
        <v>1434</v>
      </c>
      <c r="D9" s="14">
        <f t="shared" si="0"/>
        <v>15984.6</v>
      </c>
      <c r="E9" s="15">
        <f t="shared" si="1"/>
        <v>8.9711347171652717E-2</v>
      </c>
      <c r="F9" s="16">
        <f t="shared" si="2"/>
        <v>215.09730165432006</v>
      </c>
      <c r="G9" s="24">
        <f>F9/H9</f>
        <v>0.27826300343379051</v>
      </c>
      <c r="H9" s="13">
        <v>773</v>
      </c>
    </row>
    <row r="10" spans="1:8" x14ac:dyDescent="0.35">
      <c r="A10" s="25" t="s">
        <v>29</v>
      </c>
      <c r="B10" s="26">
        <v>14369.6</v>
      </c>
      <c r="C10" s="26">
        <v>1523</v>
      </c>
      <c r="D10" s="27">
        <f t="shared" si="0"/>
        <v>15892.6</v>
      </c>
      <c r="E10" s="28">
        <f t="shared" si="1"/>
        <v>9.5830764003372634E-2</v>
      </c>
      <c r="F10" s="29">
        <f t="shared" si="2"/>
        <v>311.11274453357896</v>
      </c>
      <c r="G10" s="30">
        <f>F10/H10</f>
        <v>0.21605051703720762</v>
      </c>
      <c r="H10" s="26">
        <v>1440</v>
      </c>
    </row>
    <row r="12" spans="1:8" ht="22.4" customHeight="1" x14ac:dyDescent="0.35">
      <c r="A12" s="2" t="s">
        <v>30</v>
      </c>
      <c r="B12" s="2"/>
      <c r="C12" s="2"/>
      <c r="D12" s="2"/>
      <c r="E12" s="2"/>
      <c r="F12" s="31">
        <v>136</v>
      </c>
    </row>
    <row r="13" spans="1:8" ht="22.4" customHeight="1" x14ac:dyDescent="0.35">
      <c r="A13" s="2" t="s">
        <v>31</v>
      </c>
      <c r="B13" s="2"/>
      <c r="C13" s="2"/>
      <c r="D13" s="2"/>
      <c r="E13" s="2"/>
      <c r="F13" s="32">
        <f>(526+439+130+70+215)-(472+363+91+69+197)</f>
        <v>188</v>
      </c>
    </row>
    <row r="15" spans="1:8" ht="15" customHeight="1" x14ac:dyDescent="0.35">
      <c r="A15" s="1" t="s">
        <v>32</v>
      </c>
      <c r="B15" s="1"/>
      <c r="C15" s="1"/>
      <c r="D15" s="1"/>
      <c r="E15" s="1"/>
      <c r="F15" s="1"/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</sheetData>
  <mergeCells count="3">
    <mergeCell ref="A12:E12"/>
    <mergeCell ref="A13:E13"/>
    <mergeCell ref="A15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zoomScaleNormal="100" workbookViewId="0">
      <selection activeCell="A5" sqref="A5"/>
    </sheetView>
  </sheetViews>
  <sheetFormatPr defaultColWidth="8.6328125" defaultRowHeight="14.5" x14ac:dyDescent="0.35"/>
  <cols>
    <col min="1" max="1" width="26" customWidth="1"/>
    <col min="2" max="2" width="12" customWidth="1"/>
    <col min="3" max="3" width="18" customWidth="1"/>
    <col min="4" max="4" width="16" customWidth="1"/>
    <col min="5" max="5" width="18" customWidth="1"/>
  </cols>
  <sheetData>
    <row r="1" spans="1:5" ht="18" x14ac:dyDescent="0.4">
      <c r="A1" s="4" t="s">
        <v>33</v>
      </c>
    </row>
    <row r="2" spans="1:5" ht="22.4" customHeight="1" x14ac:dyDescent="0.35">
      <c r="A2" s="2" t="s">
        <v>34</v>
      </c>
      <c r="B2" s="2"/>
      <c r="C2" s="2"/>
      <c r="D2" s="2"/>
      <c r="E2" s="2"/>
    </row>
    <row r="4" spans="1:5" ht="28.5" x14ac:dyDescent="0.35">
      <c r="A4" s="11" t="s">
        <v>35</v>
      </c>
      <c r="B4" s="11" t="s">
        <v>36</v>
      </c>
      <c r="C4" s="11" t="s">
        <v>37</v>
      </c>
      <c r="D4" s="11" t="s">
        <v>38</v>
      </c>
      <c r="E4" s="11" t="s">
        <v>39</v>
      </c>
    </row>
    <row r="5" spans="1:5" x14ac:dyDescent="0.35">
      <c r="A5" s="33" t="s">
        <v>40</v>
      </c>
      <c r="B5" s="12" t="s">
        <v>41</v>
      </c>
      <c r="C5" s="13">
        <v>16317</v>
      </c>
      <c r="D5" s="13">
        <v>14550.6</v>
      </c>
      <c r="E5" s="34">
        <f>C5-D5</f>
        <v>1766.3999999999996</v>
      </c>
    </row>
    <row r="6" spans="1:5" x14ac:dyDescent="0.35">
      <c r="A6" s="33" t="s">
        <v>40</v>
      </c>
      <c r="B6" s="12" t="s">
        <v>42</v>
      </c>
      <c r="C6" s="13">
        <v>15671</v>
      </c>
      <c r="D6" s="13">
        <v>14550.6</v>
      </c>
      <c r="E6" s="34">
        <f>C6-D6</f>
        <v>1120.3999999999996</v>
      </c>
    </row>
    <row r="7" spans="1:5" x14ac:dyDescent="0.35">
      <c r="A7" s="33" t="s">
        <v>43</v>
      </c>
      <c r="B7" s="12" t="s">
        <v>44</v>
      </c>
      <c r="C7" s="13">
        <v>14917</v>
      </c>
      <c r="D7" s="13">
        <v>14550.6</v>
      </c>
      <c r="E7" s="34">
        <f>C7-D7</f>
        <v>366.39999999999964</v>
      </c>
    </row>
    <row r="8" spans="1:5" x14ac:dyDescent="0.35">
      <c r="A8" s="33" t="s">
        <v>45</v>
      </c>
      <c r="B8" s="12" t="s">
        <v>46</v>
      </c>
      <c r="C8" s="13">
        <v>14350</v>
      </c>
      <c r="D8" s="13">
        <v>14550.6</v>
      </c>
      <c r="E8" s="34">
        <f>C8-D8</f>
        <v>-200.60000000000036</v>
      </c>
    </row>
    <row r="10" spans="1:5" ht="15" customHeight="1" x14ac:dyDescent="0.35">
      <c r="A10" s="2" t="s">
        <v>47</v>
      </c>
      <c r="B10" s="2"/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/>
      <c r="B12" s="2"/>
      <c r="C12" s="2"/>
      <c r="D12" s="2"/>
      <c r="E12" s="2"/>
    </row>
    <row r="13" spans="1:5" x14ac:dyDescent="0.35">
      <c r="A13" s="2"/>
      <c r="B13" s="2"/>
      <c r="C13" s="2"/>
      <c r="D13" s="2"/>
      <c r="E13" s="2"/>
    </row>
    <row r="14" spans="1:5" x14ac:dyDescent="0.35">
      <c r="A14" s="2"/>
      <c r="B14" s="2"/>
      <c r="C14" s="2"/>
      <c r="D14" s="2"/>
      <c r="E14" s="2"/>
    </row>
  </sheetData>
  <mergeCells count="2">
    <mergeCell ref="A2:E2"/>
    <mergeCell ref="A10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showGridLines="0" tabSelected="1" zoomScaleNormal="100" workbookViewId="0"/>
  </sheetViews>
  <sheetFormatPr defaultColWidth="8.6328125" defaultRowHeight="14.5" x14ac:dyDescent="0.35"/>
  <cols>
    <col min="1" max="1" width="120" customWidth="1"/>
  </cols>
  <sheetData>
    <row r="1" spans="1:1" ht="18" x14ac:dyDescent="0.4">
      <c r="A1" s="4" t="s">
        <v>48</v>
      </c>
    </row>
    <row r="3" spans="1:1" ht="30" customHeight="1" x14ac:dyDescent="0.35">
      <c r="A3" s="35" t="s">
        <v>49</v>
      </c>
    </row>
    <row r="4" spans="1:1" ht="30" customHeight="1" x14ac:dyDescent="0.35">
      <c r="A4" s="36" t="s">
        <v>50</v>
      </c>
    </row>
    <row r="5" spans="1:1" ht="30" customHeight="1" x14ac:dyDescent="0.35">
      <c r="A5" s="36"/>
    </row>
    <row r="6" spans="1:1" ht="30" customHeight="1" x14ac:dyDescent="0.35">
      <c r="A6" s="35" t="s">
        <v>51</v>
      </c>
    </row>
    <row r="7" spans="1:1" ht="30" customHeight="1" x14ac:dyDescent="0.35">
      <c r="A7" s="36" t="s">
        <v>52</v>
      </c>
    </row>
    <row r="8" spans="1:1" ht="30" customHeight="1" x14ac:dyDescent="0.35">
      <c r="A8" s="36" t="s">
        <v>53</v>
      </c>
    </row>
    <row r="9" spans="1:1" ht="30" customHeight="1" x14ac:dyDescent="0.35">
      <c r="A9" s="36" t="s">
        <v>54</v>
      </c>
    </row>
    <row r="10" spans="1:1" ht="30" customHeight="1" x14ac:dyDescent="0.35">
      <c r="A10" s="36" t="s">
        <v>55</v>
      </c>
    </row>
    <row r="11" spans="1:1" ht="30" customHeight="1" x14ac:dyDescent="0.35">
      <c r="A11" s="36" t="s">
        <v>56</v>
      </c>
    </row>
    <row r="12" spans="1:1" ht="30" customHeight="1" x14ac:dyDescent="0.35">
      <c r="A12" s="36"/>
    </row>
    <row r="13" spans="1:1" ht="30" customHeight="1" x14ac:dyDescent="0.35">
      <c r="A13" s="35" t="s">
        <v>57</v>
      </c>
    </row>
    <row r="14" spans="1:1" ht="30" customHeight="1" x14ac:dyDescent="0.35">
      <c r="A14" s="36" t="s">
        <v>58</v>
      </c>
    </row>
    <row r="15" spans="1:1" ht="30" customHeight="1" x14ac:dyDescent="0.35">
      <c r="A15" s="36" t="s">
        <v>59</v>
      </c>
    </row>
    <row r="16" spans="1:1" ht="30" customHeight="1" x14ac:dyDescent="0.35">
      <c r="A16" s="36"/>
    </row>
    <row r="17" spans="1:1" ht="30" customHeight="1" x14ac:dyDescent="0.35">
      <c r="A17" s="35" t="s">
        <v>60</v>
      </c>
    </row>
    <row r="18" spans="1:1" ht="30" customHeight="1" x14ac:dyDescent="0.35">
      <c r="A18" s="36" t="s">
        <v>61</v>
      </c>
    </row>
    <row r="19" spans="1:1" ht="30" customHeight="1" x14ac:dyDescent="0.35">
      <c r="A19" s="36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429F8C-F143-49C8-B0A2-0EF86DE1B537}">
  <ds:schemaRefs>
    <ds:schemaRef ds:uri="http://schemas.microsoft.com/office/2006/metadata/properties"/>
    <ds:schemaRef ds:uri="http://schemas.microsoft.com/office/infopath/2007/PartnerControls"/>
    <ds:schemaRef ds:uri="5fa9682c-c1a5-4be4-96ef-3b33ef7c0861"/>
    <ds:schemaRef ds:uri="fa31c885-2cab-4de0-ae15-a6ad290079d3"/>
  </ds:schemaRefs>
</ds:datastoreItem>
</file>

<file path=customXml/itemProps2.xml><?xml version="1.0" encoding="utf-8"?>
<ds:datastoreItem xmlns:ds="http://schemas.openxmlformats.org/officeDocument/2006/customXml" ds:itemID="{02EF7E4E-7F3B-4732-9B43-9DE76DBD82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C9CE52-CB9E-484C-BEE1-82DB822F4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31c885-2cab-4de0-ae15-a6ad290079d3"/>
    <ds:schemaRef ds:uri="5fa9682c-c1a5-4be4-96ef-3b33ef7c08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Mix &amp; Decomposition</vt:lpstr>
      <vt:lpstr>Forecast Check</vt:lpstr>
      <vt:lpstr>Sources &amp;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Parrott</cp:lastModifiedBy>
  <cp:revision>0</cp:revision>
  <dcterms:created xsi:type="dcterms:W3CDTF">2026-06-30T13:53:51Z</dcterms:created>
  <dcterms:modified xsi:type="dcterms:W3CDTF">2026-06-30T13:57:14Z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  <property fmtid="{D5CDD505-2E9C-101B-9397-08002B2CF9AE}" pid="3" name="MediaServiceImageTags">
    <vt:lpwstr/>
  </property>
</Properties>
</file>