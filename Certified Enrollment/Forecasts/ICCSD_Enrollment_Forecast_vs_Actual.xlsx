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3.xml" ContentType="application/vnd.ms-office.chartcolorstyle+xml"/>
  <Override PartName="/xl/charts/chart4.xml" ContentType="application/vnd.openxmlformats-officedocument.drawingml.chart+xml"/>
  <Override PartName="/xl/charts/colors6.xml" ContentType="application/vnd.ms-office.chartcolorstyle+xml"/>
  <Override PartName="/xl/charts/style6.xml" ContentType="application/vnd.ms-office.chartstyle+xml"/>
  <Override PartName="/xl/charts/style1.xml" ContentType="application/vnd.ms-office.chartstyle+xml"/>
  <Override PartName="/xl/charts/chart1.xml" ContentType="application/vnd.openxmlformats-officedocument.drawingml.chart+xml"/>
  <Override PartName="/xl/charts/colors5.xml" ContentType="application/vnd.ms-office.chartcolorstyle+xml"/>
  <Override PartName="/xl/charts/style5.xml" ContentType="application/vnd.ms-office.chartstyle+xml"/>
  <Override PartName="/xl/charts/colors4.xml" ContentType="application/vnd.ms-office.chartcolorstyle+xml"/>
  <Override PartName="/xl/charts/chart3.xml" ContentType="application/vnd.openxmlformats-officedocument.drawingml.chart+xml"/>
  <Override PartName="/xl/charts/chart2.xml" ContentType="application/vnd.openxmlformats-officedocument.drawingml.chart+xml"/>
  <Override PartName="/xl/charts/colors2.xml" ContentType="application/vnd.ms-office.chartcolorstyle+xml"/>
  <Override PartName="/xl/charts/style3.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ecast vs Actual" sheetId="1" state="visible" r:id="rId3"/>
    <sheet name="Overshoot Analysis" sheetId="2" state="visible" r:id="rId4"/>
    <sheet name="Sources &amp; Notes" sheetId="3" state="visible" r:id="rId5"/>
    <sheet name="Iowa DoE Benchmark" sheetId="4" state="visible" r:id="rId6"/>
    <sheet name="Demographic Drivers" sheetId="5" state="visible" r:id="rId7"/>
    <sheet name="Bond Timeline" sheetId="6" state="visible" r:id="rId8"/>
    <sheet name="OS Investor Projections" sheetId="7" state="visible" r:id="rId9"/>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analysis</author>
  </authors>
  <commentList>
    <comment ref="C14" authorId="0">
      <text>
        <r>
          <rPr>
            <sz val="10"/>
            <rFont val="Arial"/>
            <family val="2"/>
          </rPr>
          <t xml:space="preserve">DeJong-Richter Spring 2013 report. 2012-13 to 2016-17 and 2022-23 are exact (report Table 1 + stated annual increments 347/331/482/414). 2017-18 to 2021-22 read from the report's page-4 chart (consistent with the 15,372 endpoint).</t>
        </r>
      </text>
    </comment>
    <comment ref="I29" authorId="0">
      <text>
        <r>
          <rPr>
            <sz val="10"/>
            <rFont val="Arial"/>
            <family val="2"/>
          </rPr>
          <t xml:space="preserve">Woolpert/Coop Strategies 2/10/2025, Recommended scenario. Report also gives Moderate (13,866), Low (13,360) and High (14,394) for 2034-35.</t>
        </r>
      </text>
    </comment>
  </commentList>
</comments>
</file>

<file path=xl/sharedStrings.xml><?xml version="1.0" encoding="utf-8"?>
<sst xmlns="http://schemas.openxmlformats.org/spreadsheetml/2006/main" count="295" uniqueCount="219">
  <si>
    <t xml:space="preserve">ICCSD Enrollment Forecasts vs. Actual Enrollment (2010-2025 vintages)</t>
  </si>
  <si>
    <t xml:space="preserve">Each column = one forecast made at that date. Orange = bond-era forecasts (ran hot). Italic grey = approximate (read from 2018 board chart). Red = first decline forecast.</t>
  </si>
  <si>
    <t xml:space="preserve">School</t>
  </si>
  <si>
    <t xml:space="preserve">RSP &amp; Assoc.</t>
  </si>
  <si>
    <t xml:space="preserve">DeJong-Richter</t>
  </si>
  <si>
    <t xml:space="preserve">Granville</t>
  </si>
  <si>
    <t xml:space="preserve">ISFIS/Piper Sandler</t>
  </si>
  <si>
    <t xml:space="preserve">Coop Strat./Woolpert</t>
  </si>
  <si>
    <t xml:space="preserve">ACTUAL - Oct Count</t>
  </si>
  <si>
    <t xml:space="preserve">ACTUAL - Headcount</t>
  </si>
  <si>
    <t xml:space="preserve">ACTUAL - DoE Certified</t>
  </si>
  <si>
    <t xml:space="preserve">Year</t>
  </si>
  <si>
    <t xml:space="preserve">4/8/2010  (approx)</t>
  </si>
  <si>
    <t xml:space="preserve">Spring 2013</t>
  </si>
  <si>
    <t xml:space="preserve">11/26/2013  (approx)</t>
  </si>
  <si>
    <t xml:space="preserve">2/2/2015 (Recommended)</t>
  </si>
  <si>
    <t xml:space="preserve">11/28/2016</t>
  </si>
  <si>
    <t xml:space="preserve">1/2023 (Recommended)</t>
  </si>
  <si>
    <t xml:space="preserve">11/13/2023 (certified)</t>
  </si>
  <si>
    <t xml:space="preserve">2/10/2025 (Recommended)</t>
  </si>
  <si>
    <t xml:space="preserve">certified/resident</t>
  </si>
  <si>
    <t xml:space="preserve">K-12 bodies</t>
  </si>
  <si>
    <t xml:space="preserve">Iowa DoE (authoritative)</t>
  </si>
  <si>
    <t xml:space="preserve">2011-12</t>
  </si>
  <si>
    <t xml:space="preserve">2012-13</t>
  </si>
  <si>
    <t xml:space="preserve">2013-14</t>
  </si>
  <si>
    <t xml:space="preserve">2014-15</t>
  </si>
  <si>
    <t xml:space="preserve">2015-16</t>
  </si>
  <si>
    <t xml:space="preserve">2016-17</t>
  </si>
  <si>
    <t xml:space="preserve">2017-18</t>
  </si>
  <si>
    <t xml:space="preserve">2018-19</t>
  </si>
  <si>
    <t xml:space="preserve">2019-20</t>
  </si>
  <si>
    <t xml:space="preserve">2020-21</t>
  </si>
  <si>
    <t xml:space="preserve">2021-22</t>
  </si>
  <si>
    <t xml:space="preserve">2022-23</t>
  </si>
  <si>
    <t xml:space="preserve">2023-24</t>
  </si>
  <si>
    <t xml:space="preserve">2024-25</t>
  </si>
  <si>
    <t xml:space="preserve">2025-26</t>
  </si>
  <si>
    <t xml:space="preserve">2026-27</t>
  </si>
  <si>
    <t xml:space="preserve">2027-28</t>
  </si>
  <si>
    <t xml:space="preserve">2028-29</t>
  </si>
  <si>
    <t xml:space="preserve">2029-30</t>
  </si>
  <si>
    <t xml:space="preserve">2030-31</t>
  </si>
  <si>
    <t xml:space="preserve">2031-32</t>
  </si>
  <si>
    <t xml:space="preserve">2032-33</t>
  </si>
  <si>
    <t xml:space="preserve">2033-34</t>
  </si>
  <si>
    <t xml:space="preserve">2034-35</t>
  </si>
  <si>
    <t xml:space="preserve">Bond context: $191.5M GO bond passed Sept 2017. The Facility Master Plan capacity sheet used the 2/2/2015 DeJong-Richter 'Recommended' projection (-&gt; 16,317 by 2024-25). Actual 2024-25 = 14,415.</t>
  </si>
  <si>
    <t xml:space="preserve">Approximate columns now only RSP 2010 and DeJong 11/26/2013 (eyeballed from the 12/4/2018 board chart). The DeJong Spring 2013 column is exact from the uploaded report (mid-years 2017-21 read from that report's own chart).</t>
  </si>
  <si>
    <t xml:space="preserve">Firm lineage: DeJong-Richter -&gt; acquired by Cooperative Strategies -&gt; now Woolpert (all Columbus, OH; same S.T.E.P. cohort-survival software). The 1/2023 'Granville' report is the prior demographic study; 2/2025 is the current one.</t>
  </si>
  <si>
    <t xml:space="preserve">The 2/10/2025 Woolpert report is the FIRST ICCSD forecast to project DECLINE - reversing a decade of growth projections.</t>
  </si>
  <si>
    <t xml:space="preserve">How far each forecast missed actual 2024-25 enrollment (14,415)</t>
  </si>
  <si>
    <t xml:space="preserve">Forecast (vintage)</t>
  </si>
  <si>
    <t xml:space="preserve">Projected 2024-25</t>
  </si>
  <si>
    <t xml:space="preserve">Actual 2024-25</t>
  </si>
  <si>
    <t xml:space="preserve">Over/(Under)</t>
  </si>
  <si>
    <t xml:space="preserve">% miss</t>
  </si>
  <si>
    <t xml:space="preserve">Note</t>
  </si>
  <si>
    <t xml:space="preserve">DeJong-Richter 2/2/2015 (bond-era)</t>
  </si>
  <si>
    <t xml:space="preserve">Bond/FMP planning forecast</t>
  </si>
  <si>
    <t xml:space="preserve">DeJong-Richter 11/28/2016 (bond-era)</t>
  </si>
  <si>
    <t xml:space="preserve">Used in annual reports 16-17..18-19</t>
  </si>
  <si>
    <t xml:space="preserve">Granville 1/2023</t>
  </si>
  <si>
    <t xml:space="preserve">Post-build; modest over</t>
  </si>
  <si>
    <t xml:space="preserve">ISFIS/Piper Sandler 11/2023</t>
  </si>
  <si>
    <t xml:space="preserve">Certified budget forecast - near exact</t>
  </si>
  <si>
    <t xml:space="preserve">Coop Strategies/Woolpert 2/2025</t>
  </si>
  <si>
    <t xml:space="preserve">Base year = actual; projects decline after</t>
  </si>
  <si>
    <t xml:space="preserve">The two bond-era forecasts over-projected 2024-25 by 1,256 and 1,902 students (9-13%). Forecasts made after the building program (2023, 2025) are far more accurate, and the newest (2025) projects decline.</t>
  </si>
  <si>
    <t xml:space="preserve">Sources, methodology, lineage &amp; data gaps</t>
  </si>
  <si>
    <t xml:space="preserve">Demographer lineage:</t>
  </si>
  <si>
    <t xml:space="preserve">RSP &amp; Associates (2010) -&gt; DeJong-Richter (2013 x2, 2015, 2016) -&gt; Cooperative Strategies (acquired DeJong-Richter; FY2019 engagement) -&gt; 'Granville' (1/2023) -&gt; Cooperative Strategies/Woolpert (2/2025). All use the S.T.E.P. cohort-survival model (Columbus, OH).</t>
  </si>
  <si>
    <t xml:space="preserve">EXACT forecast figures (from board PDFs):</t>
  </si>
  <si>
    <t xml:space="preserve">- DeJong-Richter 2/2/2015 'Recommended': '2014-15 10-year Enrollment Projections.pdf' &amp; EDCS Report 2015-16; same numbers in the bond/FMP 'Capacity vs Projected Enrollment.pdf'.</t>
  </si>
  <si>
    <t xml:space="preserve">- DeJong-Richter 11/28/2016: EDCS Reports 2016-17, 2017-18, 2018-19.</t>
  </si>
  <si>
    <t xml:space="preserve">- Granville 1/2023 'Recommended': 'IowaCity_Demographics (2).pdf'.</t>
  </si>
  <si>
    <t xml:space="preserve">- ISFIS/Piper Sandler 11/13/2023: 'FY24 Q1 Enrollment Forecast.pdf' (certified-enrollment budget forecast).</t>
  </si>
  <si>
    <t xml:space="preserve">- Cooperative Strategies/Woolpert 2/10/2025 'EP_rpt_live_IowaCity_SY2425' (Recommended, p.35): full district-wide series 14,415 (24-25) -&gt; 13,609 (34-35), declining throughout. Report also gives Moderate/Low/High scenarios (2034-35 = 13,866 / 13,360 / 14,394).</t>
  </si>
  <si>
    <t xml:space="preserve">APPROXIMATE forecast figures (italic columns):</t>
  </si>
  <si>
    <t xml:space="preserve">- DeJong-Richter Spring 2013 ('Enrollment Projections and Student Potential Analysis'): EXACT from uploaded report - Grand Total 12,479 (2012-13) -&gt; 15,372 (2022-23, +23.2%); cohort-survival method. 2017-18..2021-22 read from the report's chart. RSP 2010 and DeJong 11/26/2013 remain eyeballed from the 12/4/2018 board chart.</t>
  </si>
  <si>
    <t xml:space="preserve">Actuals:</t>
  </si>
  <si>
    <t xml:space="preserve">- 'Oct Count' (certified/resident): Granville 1/2023 historical table, 2013-14 to 2022-23.</t>
  </si>
  <si>
    <t xml:space="preserve">- 'Headcount' (K-12 bodies, primary): 2/10/2026 Enrollment Board Report, 2013-14 to 2025-26; matches the 2/2025 Woolpert 'State Published Enrollment Counts' series. 6th grade moved to middle school in 2024-25.</t>
  </si>
  <si>
    <t xml:space="preserve">Remaining gap: a distinct FY2019 Cooperative Strategies district-total 10-year projection. Evidence suggests the 2019 engagement was mainly a geographic 'student potential analysis' and budgets FY2020-24 kept using the 11/2016 projection - so a separate 2019 district-total vintage may not exist. Needs a BoardDocs (browser) check to confirm.</t>
  </si>
  <si>
    <t xml:space="preserve">Hypothesis: SUPPORTED. Bond-era forecasts (2015, 2016) projected growth to ~15,900-16,300 by mid-2020s; actual plateaued ~14,400 and the newest forecast (2025) projects decline. Over-forecasting predates the bond (2013 vintages also ran somewhat hot) but peaked with the bond-era projections.</t>
  </si>
  <si>
    <t xml:space="preserve">Benchmark: Iowa DoE state projections vs. ICCSD's own demographer forecasts</t>
  </si>
  <si>
    <t xml:space="preserve">Independent test of the hypothesis. Each State column = one Iowa DoE 5-yr certified-enrollment projection vintage (labeled by last actual year). District demographer forecasts shown at right for comparison.</t>
  </si>
  <si>
    <t xml:space="preserve">School Year</t>
  </si>
  <si>
    <t xml:space="preserve">DoE Certified ACTUAL</t>
  </si>
  <si>
    <t xml:space="preserve">St '13 (Mar)</t>
  </si>
  <si>
    <t xml:space="preserve">St '11</t>
  </si>
  <si>
    <t xml:space="preserve">St '14 (Jan)</t>
  </si>
  <si>
    <t xml:space="preserve">St '15 (Apr)</t>
  </si>
  <si>
    <t xml:space="preserve">St '15</t>
  </si>
  <si>
    <t xml:space="preserve">St '17 (Mar)</t>
  </si>
  <si>
    <t xml:space="preserve">St '17</t>
  </si>
  <si>
    <t xml:space="preserve">St '18</t>
  </si>
  <si>
    <t xml:space="preserve">St '19</t>
  </si>
  <si>
    <t xml:space="preserve">St '21</t>
  </si>
  <si>
    <t xml:space="preserve">St '23</t>
  </si>
  <si>
    <t xml:space="preserve">St '24</t>
  </si>
  <si>
    <t xml:space="preserve">St '25</t>
  </si>
  <si>
    <t xml:space="preserve">Dist DeJong '15</t>
  </si>
  <si>
    <t xml:space="preserve">Dist DeJong '16</t>
  </si>
  <si>
    <t xml:space="preserve">Dist Woolpert '25</t>
  </si>
  <si>
    <t xml:space="preserve">2009-10</t>
  </si>
  <si>
    <t xml:space="preserve">2010-11</t>
  </si>
  <si>
    <t xml:space="preserve">FINDING (hypothesis confirmed against an independent forecaster): Iowa DoE's state projections for ICCSD peaked at ~15,000-15,109 (the 2017 &amp; 2018 vintages) and never approached the district demographer's bond-era forecasts of 15,879 (DeJong 2016) and 16,317 (DeJong 2015). For 2024-25, the district's 2015 forecast said 16,317; the state's 2019 forecast said 14,945; actual certified was 14,551.</t>
  </si>
  <si>
    <t xml:space="preserve">Both forecasters turned to decline, but the STATE did so earlier (its 2021 vintage already flattened/declined; its 2023-25 vintages fall to ~13,700) - while the district kept projecting growth/plateau until the 2025 Woolpert report.</t>
  </si>
  <si>
    <t xml:space="preserve">Basis note: State projections and the DoE actual are CERTIFIED (resident) enrollment; the district DeJong/Woolpert forecasts are 'total served'. In matched years certified runs ~200-450 ABOVE total-served, so the district forecasts ran hotter than the state's even after adjusting for basis - the gap is a real forecasting difference, not an artifact.</t>
  </si>
  <si>
    <t xml:space="preserve">Source: Iowa Dept. of Education district-level Certified Enrollment &amp; Certified Enrollment Projections files (ICCSD = district 3141), downloaded by user to 'State Enrollment Projections' folder.</t>
  </si>
  <si>
    <t xml:space="preserve">What drove ICCSD enrollment: births and immigration</t>
  </si>
  <si>
    <t xml:space="preserve">Cohort-survival forecasts run on births (-&gt; kindergarten ~5 yrs later) plus in/out migration. Johnson County births peaked in 2016; immigrant in-flow rose sharply and cushioned the slowdown.</t>
  </si>
  <si>
    <t xml:space="preserve">Johnson County Births</t>
  </si>
  <si>
    <t xml:space="preserve">ICCSD Immigrant Students (Iowa DoE)</t>
  </si>
  <si>
    <t xml:space="preserve">Birth Year</t>
  </si>
  <si>
    <t xml:space="preserve">Births</t>
  </si>
  <si>
    <t xml:space="preserve">Feeds Kindergarten</t>
  </si>
  <si>
    <t xml:space="preserve">Immigrant Students</t>
  </si>
  <si>
    <t xml:space="preserve">K-12 Enrollment</t>
  </si>
  <si>
    <t xml:space="preserve">% Immigrant</t>
  </si>
  <si>
    <t xml:space="preserve">2006-07</t>
  </si>
  <si>
    <t xml:space="preserve">2007-08</t>
  </si>
  <si>
    <t xml:space="preserve">2008-09</t>
  </si>
  <si>
    <t xml:space="preserve">Births: Johnson County resident births climbed from ~1,460 (2005) to a peak of 1,856 in 2016, then fell to ~1,620 by 2020. With a ~5-year lag to kindergarten, the 2016 peak feeds K in 2021-22 and the post-2016 decline feeds the smaller K classes of 2022-23 onward - the demographic engine behind the decline the 2025 Woolpert report projects. (Johnson County is broader than ICCSD, so use the trend, not the raw ratio.)</t>
  </si>
  <si>
    <t xml:space="preserve">Immigration: newly-arrived immigrant students in ICCSD grew from near zero (2008-10) to ~950-1,165 (2017-21) and 1,390 in 2024-25 (~7-10% of enrollment), easing to 1,052 in 2025-26. This in-migration added enough students to keep enrollment on a plateau (~14,300-14,500) even as local births fell - it is the main reason actual enrollment did not drop sooner.</t>
  </si>
  <si>
    <t xml:space="preserve">Migratory (agricultural) students: ~0 for ICCSD across all years - not a driver.</t>
  </si>
  <si>
    <t xml:space="preserve">Why the bond-era forecasts overshot: the 2015-16 projections extrapolated the 2010s housing-driven boom, but resident births plateaued after 2016 and the assumed new-housing student yield did not fully materialize. Immigration cushioned actual numbers but not by enough to reach the projected 16,000+.</t>
  </si>
  <si>
    <t xml:space="preserve">Validation bonus: the Iowa DoE immigration file's 'K-12 Enrollment' column matches this workbook's Headcount actual series exactly (e.g., 14,415 in 2024-25) - independent confirmation of the actuals.</t>
  </si>
  <si>
    <t xml:space="preserve">Source: Iowa DoE 'Birth Rates by County', 'K-12 Immigrants by District', 'K-12 Migrants by District' (ICCSD = district 3141; Johnson County = 52).</t>
  </si>
  <si>
    <t xml:space="preserve">Forecast timing vs. the $191.5M GO bond</t>
  </si>
  <si>
    <t xml:space="preserve">The district's highest enrollment forecasts were issued in the 2.5 years before the 2017 vote; no new district-total forecast was published during the 2017-2020 issuance window; downward revisions came only after. Forecasts shaded blue, bond events orange.</t>
  </si>
  <si>
    <t xml:space="preserve">Date</t>
  </si>
  <si>
    <t xml:space="preserve">Event</t>
  </si>
  <si>
    <t xml:space="preserve">Type</t>
  </si>
  <si>
    <t xml:space="preserve">Key figure</t>
  </si>
  <si>
    <t xml:space="preserve">Mar 2013</t>
  </si>
  <si>
    <t xml:space="preserve">DeJong-Richter enrollment projection</t>
  </si>
  <si>
    <t xml:space="preserve">Forecast</t>
  </si>
  <si>
    <t xml:space="preserve">peak 15,372</t>
  </si>
  <si>
    <t xml:space="preserve">Cohort-survival; +23% growth projected</t>
  </si>
  <si>
    <t xml:space="preserve">Dec 2013</t>
  </si>
  <si>
    <t xml:space="preserve">Facility Master Plan approved</t>
  </si>
  <si>
    <t xml:space="preserve">Plan</t>
  </si>
  <si>
    <t xml:space="preserve">10-yr plan</t>
  </si>
  <si>
    <t xml:space="preserve">Basis for the bond project list</t>
  </si>
  <si>
    <t xml:space="preserve">Feb 2, 2015</t>
  </si>
  <si>
    <t xml:space="preserve">DeJong-Richter projection (Recommended)</t>
  </si>
  <si>
    <t xml:space="preserve">peak 16,317</t>
  </si>
  <si>
    <t xml:space="preserve">Highest ever; the FMP capacity case used this scenario (its 'Low' was ~12,800)</t>
  </si>
  <si>
    <t xml:space="preserve">Nov 28, 2016</t>
  </si>
  <si>
    <t xml:space="preserve">DeJong-Richter projection</t>
  </si>
  <si>
    <t xml:space="preserve">peak 15,879</t>
  </si>
  <si>
    <t xml:space="preserve">Freshest demographic evidence going into the campaign</t>
  </si>
  <si>
    <t xml:space="preserve">Sep 12, 2017</t>
  </si>
  <si>
    <t xml:space="preserve">GO BOND REFERENDUM PASSES</t>
  </si>
  <si>
    <t xml:space="preserve">Bond</t>
  </si>
  <si>
    <t xml:space="preserve">$191,525,000</t>
  </si>
  <si>
    <t xml:space="preserve">~65% yes (60% needed); largest in Iowa history at the time</t>
  </si>
  <si>
    <t xml:space="preserve">Nov 29, 2017</t>
  </si>
  <si>
    <t xml:space="preserve">GO Bonds Series 2017C issued</t>
  </si>
  <si>
    <t xml:space="preserve">$58,955,000</t>
  </si>
  <si>
    <t xml:space="preserve">Tranche 1 (~10 wks after vote)</t>
  </si>
  <si>
    <t xml:space="preserve">Jan 8, 2019</t>
  </si>
  <si>
    <t xml:space="preserve">GO Bonds Series 2019 issued</t>
  </si>
  <si>
    <t xml:space="preserve">$66,645,000</t>
  </si>
  <si>
    <t xml:space="preserve">Tranche 2</t>
  </si>
  <si>
    <t xml:space="preserve">Feb 11, 2020</t>
  </si>
  <si>
    <t xml:space="preserve">GO Bonds Series 2020 issued</t>
  </si>
  <si>
    <t xml:space="preserve">$65,925,000</t>
  </si>
  <si>
    <t xml:space="preserve">Tranche 3 - full $191.5M now issued</t>
  </si>
  <si>
    <t xml:space="preserve">(2017-2022)</t>
  </si>
  <si>
    <t xml:space="preserve">No new district-total demographic projection</t>
  </si>
  <si>
    <t xml:space="preserve">Gap</t>
  </si>
  <si>
    <t xml:space="preserve">~6-yr gap</t>
  </si>
  <si>
    <t xml:space="preserve">Spans the entire issuance window; state DoE numbers flattened in 2021</t>
  </si>
  <si>
    <t xml:space="preserve">Jan 2023</t>
  </si>
  <si>
    <t xml:space="preserve">Granville projection</t>
  </si>
  <si>
    <t xml:space="preserve">peak 15,081</t>
  </si>
  <si>
    <t xml:space="preserve">First downward revision (~1,300 lower; plateau)</t>
  </si>
  <si>
    <t xml:space="preserve">Feb 10, 2025</t>
  </si>
  <si>
    <t xml:space="preserve">Coop Strategies/Woolpert projection</t>
  </si>
  <si>
    <t xml:space="preserve">14,415 -&gt; 13,609</t>
  </si>
  <si>
    <t xml:space="preserve">First outright DECLINE forecast</t>
  </si>
  <si>
    <t xml:space="preserve">Chart data (calendar year)</t>
  </si>
  <si>
    <t xml:space="preserve">Forecast ceiling (peak projected, by date made)</t>
  </si>
  <si>
    <t xml:space="preserve">Actual certified enrollment</t>
  </si>
  <si>
    <t xml:space="preserve">GO bond event (flag)</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</si>
  <si>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</si>
  <si>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</si>
  <si>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</si>
  <si>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</si>
  <si>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</si>
  <si>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</si>
  <si>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</si>
  <si>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</si>
  <si>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</si>
  <si>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</si>
  <si>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</si>
  <si>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</si>
  <si>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</si>
  <si>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</si>
  <si>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Reading it the 'juice the numbers' way: the two highest forecasts (16,317 and 15,879) land in the 2.5 years before the vote; the FMP capacity case used the demographer's high 'Recommended' scenario; and the district published no new district-total projection during 2017-2020 while it issued all $191.5M - the downward revisions appear only in 2023 and 2025, after the money was raised and largely spent.</t>
  </si>
  <si>
    <t xml:space="preserve">Reading it the innocent way: in 2015-16 the district really was adding ~300 students/yr with county births near their 2016 peak, so cohort-survival mechanically extrapolated a real boom. The independent Iowa DoE projections of the same era were also optimistic (peaking ~15,000) - just consistently lower than the district's. Re-doing a paid demographic study only every several years is normal.</t>
  </si>
  <si>
    <t xml:space="preserve">Net: the pattern is circumstantial but pointed - the district's forecasts sat at the optimistic edge (highest scenario, highest of any forecaster, freshest right before the ask), and weren't revisited until after issuance. Actual enrollment (navy) never came within ~1,500 of the bond-era ceiling.</t>
  </si>
  <si>
    <t xml:space="preserve">Sources: ICCSD FY22 audited financial statements (GO issuance dates/par); The Gazette (9/12/2017 vote, ~65%); board demographic reports (forecast dates/figures); Iowa DoE certified enrollment.</t>
  </si>
  <si>
    <t xml:space="preserve">What the bond Official Statements told investors (DeJong-Richter projected certified enrollment)</t>
  </si>
  <si>
    <t xml:space="preserve">Each $-tranche's Official Statement presented a 5-6 yr DeJong-Richter certified-enrollment projection. Compared to actual certified at right. Note: these investor figures (~15,000) were more modest than the FMP/campaign number (16,317).</t>
  </si>
  <si>
    <t xml:space="preserve">Fiscal Year</t>
  </si>
  <si>
    <t xml:space="preserve">OS Series 2017C (Dec 2017)</t>
  </si>
  <si>
    <t xml:space="preserve">OS Series 2019 (Jan 2019)</t>
  </si>
  <si>
    <t xml:space="preserve">OS Series 2020 (Feb 2020)</t>
  </si>
  <si>
    <t xml:space="preserve">ACTUAL certified</t>
  </si>
  <si>
    <t xml:space="preserve">OS 2019 over/(under) actual</t>
  </si>
  <si>
    <t xml:space="preserve">What investors were shown: all three Official Statements (2017, 2019, 2020) presented DeJong-Richter projections of CONTINUED growth, rising to ~15,000-15,076 by the mid-2020s, with narrative that 'future projections indicate a continued trend for enrollment increases.' Actual certified plateaued at ~14,400 - so the investor projections overshot by ~100-640 students (less extreme than the 16,317 campaign/FMP figure).</t>
  </si>
  <si>
    <t xml:space="preserve">Candid disclosure (cuts against a 'hiding the ball' reading at the investor level): the Series 2019 Official Statement footnoted - 'Although DeJong-Richter projected enrollment increases of 300+ students on October 1, 2018, the actual increase was 87 students.' The district disclosed in writing that its demographer had over-projected.</t>
  </si>
  <si>
    <t xml:space="preserve">Refinement of the hypothesis: the most aggressive number (16,317, total-served) lived in the voter-facing FMP capacity case; the investor-facing Official Statements used a more modest certified projection (~15,000) and even flagged the overshoot. So any 'juicing' was concentrated in the campaign, not the bond disclosures.</t>
  </si>
  <si>
    <t xml:space="preserve">Note the Feb 2020 OS (issued just before COVID) still projected 15,003 by 2024-25 and reused the prior projection numbers rather than refreshing them downward. Actual 2024-25 = 14,551.</t>
  </si>
  <si>
    <t xml:space="preserve">Source: ICCSD GO Bond Official Statements, Series 2017C / 2019 / 2020 (MSRB EMMA); Iowa DoE certified enrollment for actuals.</t>
  </si>
</sst>
</file>

<file path=xl/styles.xml><?xml version="1.0" encoding="utf-8"?>
<styleSheet xmlns="http://schemas.openxmlformats.org/spreadsheetml/2006/main">
  <numFmts count="5">
    <numFmt numFmtId="164" formatCode="General"/>
    <numFmt numFmtId="165" formatCode="#,##0"/>
    <numFmt numFmtId="166" formatCode="#,##0.0"/>
    <numFmt numFmtId="167" formatCode="0.0%"/>
    <numFmt numFmtId="168" formatCode="#,##0;\(#,##0\)"/>
  </numFmts>
  <fonts count="27">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9"/>
      <color rgb="FF808080"/>
      <name val="Arial"/>
      <family val="0"/>
      <charset val="1"/>
    </font>
    <font>
      <b val="true"/>
      <sz val="9"/>
      <color rgb="FFFFFFFF"/>
      <name val="Arial"/>
      <family val="0"/>
      <charset val="1"/>
    </font>
    <font>
      <sz val="8"/>
      <color rgb="FFFFFFFF"/>
      <name val="Arial"/>
      <family val="0"/>
      <charset val="1"/>
    </font>
    <font>
      <b val="true"/>
      <sz val="10"/>
      <color rgb="FF1F3864"/>
      <name val="Arial"/>
      <family val="0"/>
      <charset val="1"/>
    </font>
    <font>
      <i val="true"/>
      <sz val="10"/>
      <color rgb="FF000000"/>
      <name val="Arial"/>
      <family val="0"/>
      <charset val="1"/>
    </font>
    <font>
      <sz val="10"/>
      <color rgb="FF000000"/>
      <name val="Arial"/>
      <family val="0"/>
      <charset val="1"/>
    </font>
    <font>
      <sz val="9"/>
      <color rgb="FF404040"/>
      <name val="Arial"/>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
      <b val="true"/>
      <sz val="14"/>
      <color rgb="FF1F3864"/>
      <name val="Arial"/>
      <family val="0"/>
      <charset val="1"/>
    </font>
    <font>
      <b val="true"/>
      <sz val="10"/>
      <color rgb="FFFFFFFF"/>
      <name val="Arial"/>
      <family val="0"/>
      <charset val="1"/>
    </font>
    <font>
      <b val="true"/>
      <sz val="8"/>
      <color rgb="FFFFFFFF"/>
      <name val="Arial"/>
      <family val="0"/>
      <charset val="1"/>
    </font>
    <font>
      <b val="true"/>
      <sz val="9"/>
      <color rgb="FF1F3864"/>
      <name val="Arial"/>
      <family val="0"/>
      <charset val="1"/>
    </font>
    <font>
      <b val="true"/>
      <sz val="9"/>
      <color rgb="FFC55A11"/>
      <name val="Arial"/>
      <family val="0"/>
      <charset val="1"/>
    </font>
    <font>
      <sz val="9"/>
      <color rgb="FF000000"/>
      <name val="Arial"/>
      <family val="0"/>
      <charset val="1"/>
    </font>
    <font>
      <sz val="9"/>
      <color rgb="FF375623"/>
      <name val="Arial"/>
      <family val="0"/>
      <charset val="1"/>
    </font>
    <font>
      <b val="true"/>
      <sz val="11"/>
      <color rgb="FF1F3864"/>
      <name val="Arial"/>
      <family val="0"/>
      <charset val="1"/>
    </font>
    <font>
      <b val="true"/>
      <sz val="9"/>
      <color rgb="FF000000"/>
      <name val="Arial"/>
      <family val="0"/>
      <charset val="1"/>
    </font>
    <font>
      <sz val="8"/>
      <name val="Arial"/>
      <family val="0"/>
      <charset val="1"/>
    </font>
    <font>
      <b val="true"/>
      <sz val="13"/>
      <color rgb="FF1F3864"/>
      <name val="Arial"/>
      <family val="0"/>
      <charset val="1"/>
    </font>
  </fonts>
  <fills count="15">
    <fill>
      <patternFill patternType="none"/>
    </fill>
    <fill>
      <patternFill patternType="gray125"/>
    </fill>
    <fill>
      <patternFill patternType="solid">
        <fgColor rgb="FF1F3864"/>
        <bgColor rgb="FF404040"/>
      </patternFill>
    </fill>
    <fill>
      <patternFill patternType="solid">
        <fgColor rgb="FF2E5496"/>
        <bgColor rgb="FF1F3864"/>
      </patternFill>
    </fill>
    <fill>
      <patternFill patternType="solid">
        <fgColor rgb="FFF2F2F2"/>
        <bgColor rgb="FFE2EFDA"/>
      </patternFill>
    </fill>
    <fill>
      <patternFill patternType="solid">
        <fgColor rgb="FFFFF2CC"/>
        <bgColor rgb="FFFCE4D6"/>
      </patternFill>
    </fill>
    <fill>
      <patternFill patternType="solid">
        <fgColor rgb="FFDDEBF7"/>
        <bgColor rgb="FFD9E1F2"/>
      </patternFill>
    </fill>
    <fill>
      <patternFill patternType="solid">
        <fgColor rgb="FFF8CBAD"/>
        <bgColor rgb="FFFFE699"/>
      </patternFill>
    </fill>
    <fill>
      <patternFill patternType="solid">
        <fgColor rgb="FFFCE4D6"/>
        <bgColor rgb="FFFFE6E6"/>
      </patternFill>
    </fill>
    <fill>
      <patternFill patternType="solid">
        <fgColor rgb="FFE2EFDA"/>
        <bgColor rgb="FFDDEBF7"/>
      </patternFill>
    </fill>
    <fill>
      <patternFill patternType="solid">
        <fgColor rgb="FFD9E1F2"/>
        <bgColor rgb="FFDDEBF7"/>
      </patternFill>
    </fill>
    <fill>
      <patternFill patternType="solid">
        <fgColor rgb="FFFFE6E6"/>
        <bgColor rgb="FFFCE4D6"/>
      </patternFill>
    </fill>
    <fill>
      <patternFill patternType="solid">
        <fgColor rgb="FFC55A11"/>
        <bgColor rgb="FFED7D31"/>
      </patternFill>
    </fill>
    <fill>
      <patternFill patternType="solid">
        <fgColor rgb="FF70AD47"/>
        <bgColor rgb="FF548235"/>
      </patternFill>
    </fill>
    <fill>
      <patternFill patternType="solid">
        <fgColor rgb="FFFFE699"/>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5" fontId="9" fillId="4" borderId="1" xfId="0" applyFont="true" applyBorder="true" applyAlignment="true" applyProtection="false">
      <alignment horizontal="center"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5" fontId="8" fillId="5" borderId="1" xfId="0" applyFont="true" applyBorder="true" applyAlignment="true" applyProtection="false">
      <alignment horizontal="center" vertical="center" textRotation="0" wrapText="false" indent="0" shrinkToFit="false"/>
      <protection locked="true" hidden="false"/>
    </xf>
    <xf numFmtId="165" fontId="10" fillId="6" borderId="1" xfId="0" applyFont="true" applyBorder="true" applyAlignment="true" applyProtection="false">
      <alignment horizontal="center" vertical="center" textRotation="0" wrapText="false" indent="0" shrinkToFit="false"/>
      <protection locked="true" hidden="false"/>
    </xf>
    <xf numFmtId="165" fontId="10" fillId="7" borderId="1" xfId="0" applyFont="true" applyBorder="true" applyAlignment="true" applyProtection="false">
      <alignment horizontal="center" vertical="center" textRotation="0" wrapText="false" indent="0" shrinkToFit="false"/>
      <protection locked="true" hidden="false"/>
    </xf>
    <xf numFmtId="165" fontId="10" fillId="8" borderId="1" xfId="0" applyFont="true" applyBorder="true" applyAlignment="true" applyProtection="false">
      <alignment horizontal="center" vertical="center" textRotation="0" wrapText="false" indent="0" shrinkToFit="false"/>
      <protection locked="true" hidden="false"/>
    </xf>
    <xf numFmtId="165" fontId="10" fillId="9" borderId="1" xfId="0" applyFont="true" applyBorder="true" applyAlignment="true" applyProtection="false">
      <alignment horizontal="center" vertical="center" textRotation="0" wrapText="false" indent="0" shrinkToFit="false"/>
      <protection locked="true" hidden="false"/>
    </xf>
    <xf numFmtId="166" fontId="10" fillId="10" borderId="1" xfId="0" applyFont="true" applyBorder="true" applyAlignment="true" applyProtection="false">
      <alignment horizontal="center" vertical="center" textRotation="0" wrapText="false" indent="0" shrinkToFit="false"/>
      <protection locked="true" hidden="false"/>
    </xf>
    <xf numFmtId="165" fontId="10" fillId="10" borderId="1" xfId="0" applyFont="true" applyBorder="true" applyAlignment="true" applyProtection="false">
      <alignment horizontal="center" vertical="center" textRotation="0" wrapText="false" indent="0" shrinkToFit="false"/>
      <protection locked="true" hidden="false"/>
    </xf>
    <xf numFmtId="165" fontId="10" fillId="11" borderId="1" xfId="0" applyFont="true" applyBorder="true" applyAlignment="true" applyProtection="false">
      <alignment horizontal="center" vertical="center" textRotation="0" wrapText="fals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left" vertical="center" textRotation="0" wrapText="false" indent="0" shrinkToFit="false"/>
      <protection locked="true" hidden="false"/>
    </xf>
    <xf numFmtId="167" fontId="10" fillId="7"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7" fontId="10" fillId="0" borderId="1"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12"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18" fillId="13" borderId="1" xfId="0" applyFont="true" applyBorder="true" applyAlignment="true" applyProtection="false">
      <alignment horizontal="center" vertical="center" textRotation="0" wrapText="true" indent="0" shrinkToFit="false"/>
      <protection locked="true" hidden="false"/>
    </xf>
    <xf numFmtId="164" fontId="19" fillId="4" borderId="1" xfId="0" applyFont="true" applyBorder="true" applyAlignment="true" applyProtection="false">
      <alignment horizontal="center" vertical="center" textRotation="0" wrapText="false" indent="0" shrinkToFit="false"/>
      <protection locked="true" hidden="false"/>
    </xf>
    <xf numFmtId="165" fontId="20" fillId="0" borderId="1" xfId="0" applyFont="true" applyBorder="true" applyAlignment="true" applyProtection="false">
      <alignment horizontal="center" vertical="center" textRotation="0" wrapText="false" indent="0" shrinkToFit="false"/>
      <protection locked="true" hidden="false"/>
    </xf>
    <xf numFmtId="165" fontId="21" fillId="0" borderId="1" xfId="0" applyFont="true" applyBorder="true" applyAlignment="true" applyProtection="false">
      <alignment horizontal="center" vertical="center" textRotation="0" wrapText="false" indent="0" shrinkToFit="false"/>
      <protection locked="true" hidden="false"/>
    </xf>
    <xf numFmtId="165" fontId="22" fillId="0" borderId="1" xfId="0" applyFont="true" applyBorder="true" applyAlignment="true" applyProtection="false">
      <alignment horizontal="center" vertical="center" textRotation="0" wrapText="false" indent="0" shrinkToFit="false"/>
      <protection locked="true" hidden="false"/>
    </xf>
    <xf numFmtId="165" fontId="22" fillId="9" borderId="1"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left" vertical="center" textRotation="0" wrapText="false" indent="0" shrinkToFit="false"/>
      <protection locked="true" hidden="false"/>
    </xf>
    <xf numFmtId="164" fontId="21" fillId="0" borderId="1" xfId="0" applyFont="true" applyBorder="true" applyAlignment="true" applyProtection="false">
      <alignment horizontal="center" vertical="center" textRotation="0" wrapText="false" indent="0" shrinkToFit="false"/>
      <protection locked="true" hidden="false"/>
    </xf>
    <xf numFmtId="167" fontId="21" fillId="0" borderId="1" xfId="0" applyFont="true" applyBorder="true" applyAlignment="true" applyProtection="false">
      <alignment horizontal="center" vertical="center" textRotation="0" wrapText="false" indent="0" shrinkToFit="false"/>
      <protection locked="true" hidden="false"/>
    </xf>
    <xf numFmtId="164" fontId="24" fillId="8" borderId="1" xfId="0" applyFont="true" applyBorder="true" applyAlignment="true" applyProtection="false">
      <alignment horizontal="center" vertical="center" textRotation="0" wrapText="false" indent="0" shrinkToFit="false"/>
      <protection locked="true" hidden="false"/>
    </xf>
    <xf numFmtId="165" fontId="24" fillId="8" borderId="1" xfId="0" applyFont="true" applyBorder="true" applyAlignment="true" applyProtection="false">
      <alignment horizontal="center" vertical="center" textRotation="0" wrapText="false" indent="0" shrinkToFit="false"/>
      <protection locked="true" hidden="false"/>
    </xf>
    <xf numFmtId="164" fontId="21" fillId="6" borderId="1" xfId="0" applyFont="true" applyBorder="true" applyAlignment="true" applyProtection="false">
      <alignment horizontal="center" vertical="center" textRotation="0" wrapText="false" indent="0" shrinkToFit="false"/>
      <protection locked="true" hidden="false"/>
    </xf>
    <xf numFmtId="164" fontId="21" fillId="6" borderId="1" xfId="0" applyFont="true" applyBorder="true" applyAlignment="true" applyProtection="false">
      <alignment horizontal="left" vertical="center" textRotation="0" wrapText="false" indent="0" shrinkToFit="false"/>
      <protection locked="true" hidden="false"/>
    </xf>
    <xf numFmtId="164" fontId="21" fillId="8" borderId="1" xfId="0" applyFont="true" applyBorder="true" applyAlignment="true" applyProtection="false">
      <alignment horizontal="center" vertical="center" textRotation="0" wrapText="false" indent="0" shrinkToFit="false"/>
      <protection locked="true" hidden="false"/>
    </xf>
    <xf numFmtId="164" fontId="21" fillId="8" borderId="1" xfId="0" applyFont="true" applyBorder="true" applyAlignment="true" applyProtection="false">
      <alignment horizontal="left" vertical="center" textRotation="0" wrapText="false" indent="0" shrinkToFit="false"/>
      <protection locked="true" hidden="false"/>
    </xf>
    <xf numFmtId="164" fontId="24" fillId="8" borderId="1" xfId="0" applyFont="true" applyBorder="true" applyAlignment="true" applyProtection="false">
      <alignment horizontal="left" vertical="center" textRotation="0" wrapText="false" indent="0" shrinkToFit="false"/>
      <protection locked="true" hidden="false"/>
    </xf>
    <xf numFmtId="164" fontId="21" fillId="4" borderId="1" xfId="0" applyFont="true" applyBorder="true" applyAlignment="true" applyProtection="false">
      <alignment horizontal="center" vertical="center" textRotation="0" wrapText="false" indent="0" shrinkToFit="false"/>
      <protection locked="true" hidden="false"/>
    </xf>
    <xf numFmtId="164" fontId="21" fillId="4" borderId="1" xfId="0" applyFont="true" applyBorder="true" applyAlignment="true" applyProtection="false">
      <alignment horizontal="left" vertical="center" textRotation="0" wrapText="false" indent="0" shrinkToFit="false"/>
      <protection locked="true" hidden="false"/>
    </xf>
    <xf numFmtId="164" fontId="19" fillId="0" borderId="1" xfId="0" applyFont="true" applyBorder="true" applyAlignment="true" applyProtection="false">
      <alignment horizontal="left" vertical="center" textRotation="0" wrapText="false" indent="0" shrinkToFit="false"/>
      <protection locked="true" hidden="false"/>
    </xf>
    <xf numFmtId="164" fontId="25" fillId="0" borderId="0" xfId="0" applyFont="true" applyBorder="false" applyAlignment="true" applyProtection="false">
      <alignment horizontal="center" vertical="bottom" textRotation="0" wrapText="false" indent="0" shrinkToFit="false"/>
      <protection locked="true" hidden="false"/>
    </xf>
    <xf numFmtId="165" fontId="25" fillId="0" borderId="0" xfId="0" applyFont="true" applyBorder="fals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left" vertical="center" textRotation="0" wrapText="false" indent="0" shrinkToFit="false"/>
      <protection locked="true" hidden="false"/>
    </xf>
    <xf numFmtId="165" fontId="21" fillId="8" borderId="1" xfId="0" applyFont="true" applyBorder="true" applyAlignment="true" applyProtection="false">
      <alignment horizontal="center" vertical="center" textRotation="0" wrapText="false" indent="0" shrinkToFit="false"/>
      <protection locked="true" hidden="false"/>
    </xf>
    <xf numFmtId="168" fontId="21" fillId="0" borderId="1" xfId="0" applyFont="true" applyBorder="true" applyAlignment="true" applyProtection="false">
      <alignment horizontal="center" vertical="center" textRotation="0" wrapText="false" indent="0" shrinkToFit="false"/>
      <protection locked="true" hidden="false"/>
    </xf>
    <xf numFmtId="165" fontId="21" fillId="14" borderId="1" xfId="0" applyFont="true" applyBorder="true" applyAlignment="true" applyProtection="false">
      <alignment horizontal="center" vertical="center" textRotation="0" wrapText="false" indent="0" shrinkToFit="false"/>
      <protection locked="true" hidden="false"/>
    </xf>
    <xf numFmtId="165" fontId="21" fillId="6"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E6E6"/>
      <rgbColor rgb="FFFF00FF"/>
      <rgbColor rgb="FF00FFFF"/>
      <rgbColor rgb="FFC00000"/>
      <rgbColor rgb="FF008000"/>
      <rgbColor rgb="FF000080"/>
      <rgbColor rgb="FF548235"/>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E699"/>
      <rgbColor rgb="FFB3B3B3"/>
      <rgbColor rgb="FFFCE4D6"/>
      <rgbColor rgb="FFD9E1F2"/>
      <rgbColor rgb="FFF8CBAD"/>
      <rgbColor rgb="FF3366FF"/>
      <rgbColor rgb="FF33CCCC"/>
      <rgbColor rgb="FFA9D08E"/>
      <rgbColor rgb="FFFFCC00"/>
      <rgbColor rgb="FFBF9000"/>
      <rgbColor rgb="FFED7D31"/>
      <rgbColor rgb="FF666699"/>
      <rgbColor rgb="FF878787"/>
      <rgbColor rgb="FF1F3864"/>
      <rgbColor rgb="FF70AD47"/>
      <rgbColor rgb="FF003300"/>
      <rgbColor rgb="FF375623"/>
      <rgbColor rgb="FFC55A11"/>
      <rgbColor rgb="FF993366"/>
      <rgbColor rgb="FF2E5496"/>
      <rgbColor rgb="FF404040"/>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sharedStrings" Target="sharedStrings.xml"/><Relationship Id="rId4" Type="http://schemas.openxmlformats.org/officeDocument/2006/relationships/worksheet" Target="worksheets/sheet2.xml"/><Relationship Id="rId9" Type="http://schemas.openxmlformats.org/officeDocument/2006/relationships/worksheet" Target="worksheets/sheet7.xml"/></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ICCSD enrollment: forecast vintages vs. actual</a:t>
            </a:r>
          </a:p>
        </c:rich>
      </c:tx>
      <c:overlay val="0"/>
      <c:spPr>
        <a:noFill/>
        <a:ln w="0">
          <a:noFill/>
        </a:ln>
      </c:spPr>
    </c:title>
    <c:autoTitleDeleted val="0"/>
    <c:plotArea>
      <c:lineChart>
        <c:grouping val="standard"/>
        <c:varyColors val="0"/>
        <c:ser>
          <c:idx val="0"/>
          <c:order val="0"/>
          <c:tx>
            <c:strRef>
              <c:f>"DeJong-Richter 2/2/2015 (bond)"</c:f>
              <c:strCache>
                <c:ptCount val="1"/>
                <c:pt idx="0">
                  <c:v>DeJong-Richter 2/2/2015 (bond)</c:v>
                </c:pt>
              </c:strCache>
            </c:strRef>
          </c:tx>
          <c:spPr>
            <a:solidFill>
              <a:srgbClr val="C55A11"/>
            </a:solidFill>
            <a:ln w="28080">
              <a:solidFill>
                <a:srgbClr val="C55A11"/>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strRef>
              <c:f>'Forecast vs Actual'!$A$6:$A$29</c:f>
              <c:strCache>
                <c:ptCount val="24"/>
                <c:pt idx="0">
                  <c:v>2011-12</c:v>
                </c:pt>
                <c:pt idx="1">
                  <c:v>2012-13</c:v>
                </c:pt>
                <c:pt idx="2">
                  <c:v>2013-14</c:v>
                </c:pt>
                <c:pt idx="3">
                  <c:v>2014-15</c:v>
                </c:pt>
                <c:pt idx="4">
                  <c:v>2015-16</c:v>
                </c:pt>
                <c:pt idx="5">
                  <c:v>2016-17</c:v>
                </c:pt>
                <c:pt idx="6">
                  <c:v>2017-18</c:v>
                </c:pt>
                <c:pt idx="7">
                  <c:v>2018-19</c:v>
                </c:pt>
                <c:pt idx="8">
                  <c:v>2019-20</c:v>
                </c:pt>
                <c:pt idx="9">
                  <c:v>2020-21</c:v>
                </c:pt>
                <c:pt idx="10">
                  <c:v>2021-22</c:v>
                </c:pt>
                <c:pt idx="11">
                  <c:v>2022-23</c:v>
                </c:pt>
                <c:pt idx="12">
                  <c:v>2023-24</c:v>
                </c:pt>
                <c:pt idx="13">
                  <c:v>2024-25</c:v>
                </c:pt>
                <c:pt idx="14">
                  <c:v>2025-26</c:v>
                </c:pt>
                <c:pt idx="15">
                  <c:v>2026-27</c:v>
                </c:pt>
                <c:pt idx="16">
                  <c:v>2027-28</c:v>
                </c:pt>
                <c:pt idx="17">
                  <c:v>2028-29</c:v>
                </c:pt>
                <c:pt idx="18">
                  <c:v>2029-30</c:v>
                </c:pt>
                <c:pt idx="19">
                  <c:v>2030-31</c:v>
                </c:pt>
                <c:pt idx="20">
                  <c:v>2031-32</c:v>
                </c:pt>
                <c:pt idx="21">
                  <c:v>2032-33</c:v>
                </c:pt>
                <c:pt idx="22">
                  <c:v>2033-34</c:v>
                </c:pt>
                <c:pt idx="23">
                  <c:v>2034-35</c:v>
                </c:pt>
              </c:strCache>
            </c:strRef>
          </c:cat>
          <c:val>
            <c:numRef>
              <c:f>'Forecast vs Actual'!$E$6:$E$29</c:f>
              <c:numCache>
                <c:formatCode>#,##0</c:formatCode>
                <c:ptCount val="24"/>
                <c:pt idx="4">
                  <c:v>13445</c:v>
                </c:pt>
                <c:pt idx="5">
                  <c:v>13841</c:v>
                </c:pt>
                <c:pt idx="6">
                  <c:v>14186</c:v>
                </c:pt>
                <c:pt idx="7">
                  <c:v>14546</c:v>
                </c:pt>
                <c:pt idx="8">
                  <c:v>14852</c:v>
                </c:pt>
                <c:pt idx="9">
                  <c:v>15222</c:v>
                </c:pt>
                <c:pt idx="10">
                  <c:v>15547</c:v>
                </c:pt>
                <c:pt idx="11">
                  <c:v>15803</c:v>
                </c:pt>
                <c:pt idx="12">
                  <c:v>16103</c:v>
                </c:pt>
                <c:pt idx="13">
                  <c:v>16317</c:v>
                </c:pt>
              </c:numCache>
            </c:numRef>
          </c:val>
          <c:smooth val="1"/>
        </c:ser>
        <c:ser>
          <c:idx val="1"/>
          <c:order val="1"/>
          <c:tx>
            <c:strRef>
              <c:f>"DeJong-Richter 11/28/2016 (bond)"</c:f>
              <c:strCache>
                <c:ptCount val="1"/>
                <c:pt idx="0">
                  <c:v>DeJong-Richter 11/28/2016 (bond)</c:v>
                </c:pt>
              </c:strCache>
            </c:strRef>
          </c:tx>
          <c:spPr>
            <a:solidFill>
              <a:srgbClr val="ED7D31"/>
            </a:solidFill>
            <a:ln w="28080">
              <a:solidFill>
                <a:srgbClr val="ED7D31"/>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strRef>
              <c:f>'Forecast vs Actual'!$A$6:$A$29</c:f>
              <c:strCache>
                <c:ptCount val="24"/>
                <c:pt idx="0">
                  <c:v>2011-12</c:v>
                </c:pt>
                <c:pt idx="1">
                  <c:v>2012-13</c:v>
                </c:pt>
                <c:pt idx="2">
                  <c:v>2013-14</c:v>
                </c:pt>
                <c:pt idx="3">
                  <c:v>2014-15</c:v>
                </c:pt>
                <c:pt idx="4">
                  <c:v>2015-16</c:v>
                </c:pt>
                <c:pt idx="5">
                  <c:v>2016-17</c:v>
                </c:pt>
                <c:pt idx="6">
                  <c:v>2017-18</c:v>
                </c:pt>
                <c:pt idx="7">
                  <c:v>2018-19</c:v>
                </c:pt>
                <c:pt idx="8">
                  <c:v>2019-20</c:v>
                </c:pt>
                <c:pt idx="9">
                  <c:v>2020-21</c:v>
                </c:pt>
                <c:pt idx="10">
                  <c:v>2021-22</c:v>
                </c:pt>
                <c:pt idx="11">
                  <c:v>2022-23</c:v>
                </c:pt>
                <c:pt idx="12">
                  <c:v>2023-24</c:v>
                </c:pt>
                <c:pt idx="13">
                  <c:v>2024-25</c:v>
                </c:pt>
                <c:pt idx="14">
                  <c:v>2025-26</c:v>
                </c:pt>
                <c:pt idx="15">
                  <c:v>2026-27</c:v>
                </c:pt>
                <c:pt idx="16">
                  <c:v>2027-28</c:v>
                </c:pt>
                <c:pt idx="17">
                  <c:v>2028-29</c:v>
                </c:pt>
                <c:pt idx="18">
                  <c:v>2029-30</c:v>
                </c:pt>
                <c:pt idx="19">
                  <c:v>2030-31</c:v>
                </c:pt>
                <c:pt idx="20">
                  <c:v>2031-32</c:v>
                </c:pt>
                <c:pt idx="21">
                  <c:v>2032-33</c:v>
                </c:pt>
                <c:pt idx="22">
                  <c:v>2033-34</c:v>
                </c:pt>
                <c:pt idx="23">
                  <c:v>2034-35</c:v>
                </c:pt>
              </c:strCache>
            </c:strRef>
          </c:cat>
          <c:val>
            <c:numRef>
              <c:f>'Forecast vs Actual'!$F$6:$F$29</c:f>
              <c:numCache>
                <c:formatCode>#,##0</c:formatCode>
                <c:ptCount val="24"/>
                <c:pt idx="6">
                  <c:v>13941</c:v>
                </c:pt>
                <c:pt idx="7">
                  <c:v>14261</c:v>
                </c:pt>
                <c:pt idx="8">
                  <c:v>14561</c:v>
                </c:pt>
                <c:pt idx="9">
                  <c:v>14818</c:v>
                </c:pt>
                <c:pt idx="10">
                  <c:v>15092</c:v>
                </c:pt>
                <c:pt idx="11">
                  <c:v>15260</c:v>
                </c:pt>
                <c:pt idx="12">
                  <c:v>15495</c:v>
                </c:pt>
                <c:pt idx="13">
                  <c:v>15671</c:v>
                </c:pt>
                <c:pt idx="14">
                  <c:v>15814</c:v>
                </c:pt>
                <c:pt idx="15">
                  <c:v>15879</c:v>
                </c:pt>
              </c:numCache>
            </c:numRef>
          </c:val>
          <c:smooth val="1"/>
        </c:ser>
        <c:ser>
          <c:idx val="2"/>
          <c:order val="2"/>
          <c:tx>
            <c:strRef>
              <c:f>"Granville 1/2023"</c:f>
              <c:strCache>
                <c:ptCount val="1"/>
                <c:pt idx="0">
                  <c:v>Granville 1/2023</c:v>
                </c:pt>
              </c:strCache>
            </c:strRef>
          </c:tx>
          <c:spPr>
            <a:solidFill>
              <a:srgbClr val="70AD47"/>
            </a:solidFill>
            <a:ln w="20160">
              <a:solidFill>
                <a:srgbClr val="70AD47"/>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0160">
                  <a:solidFill>
                    <a:srgbClr val="000000"/>
                  </a:solidFill>
                </a:ln>
              </c:spPr>
            </c:leaderLines>
            <c:extLst>
              <c:ext xmlns:c15="http://schemas.microsoft.com/office/drawing/2012/chart" uri="{CE6537A1-D6FC-4f65-9D91-7224C49458BB}">
                <c15:showLeaderLines val="1"/>
              </c:ext>
            </c:extLst>
          </c:dLbls>
          <c:cat>
            <c:strRef>
              <c:f>'Forecast vs Actual'!$A$6:$A$29</c:f>
              <c:strCache>
                <c:ptCount val="24"/>
                <c:pt idx="0">
                  <c:v>2011-12</c:v>
                </c:pt>
                <c:pt idx="1">
                  <c:v>2012-13</c:v>
                </c:pt>
                <c:pt idx="2">
                  <c:v>2013-14</c:v>
                </c:pt>
                <c:pt idx="3">
                  <c:v>2014-15</c:v>
                </c:pt>
                <c:pt idx="4">
                  <c:v>2015-16</c:v>
                </c:pt>
                <c:pt idx="5">
                  <c:v>2016-17</c:v>
                </c:pt>
                <c:pt idx="6">
                  <c:v>2017-18</c:v>
                </c:pt>
                <c:pt idx="7">
                  <c:v>2018-19</c:v>
                </c:pt>
                <c:pt idx="8">
                  <c:v>2019-20</c:v>
                </c:pt>
                <c:pt idx="9">
                  <c:v>2020-21</c:v>
                </c:pt>
                <c:pt idx="10">
                  <c:v>2021-22</c:v>
                </c:pt>
                <c:pt idx="11">
                  <c:v>2022-23</c:v>
                </c:pt>
                <c:pt idx="12">
                  <c:v>2023-24</c:v>
                </c:pt>
                <c:pt idx="13">
                  <c:v>2024-25</c:v>
                </c:pt>
                <c:pt idx="14">
                  <c:v>2025-26</c:v>
                </c:pt>
                <c:pt idx="15">
                  <c:v>2026-27</c:v>
                </c:pt>
                <c:pt idx="16">
                  <c:v>2027-28</c:v>
                </c:pt>
                <c:pt idx="17">
                  <c:v>2028-29</c:v>
                </c:pt>
                <c:pt idx="18">
                  <c:v>2029-30</c:v>
                </c:pt>
                <c:pt idx="19">
                  <c:v>2030-31</c:v>
                </c:pt>
                <c:pt idx="20">
                  <c:v>2031-32</c:v>
                </c:pt>
                <c:pt idx="21">
                  <c:v>2032-33</c:v>
                </c:pt>
                <c:pt idx="22">
                  <c:v>2033-34</c:v>
                </c:pt>
                <c:pt idx="23">
                  <c:v>2034-35</c:v>
                </c:pt>
              </c:strCache>
            </c:strRef>
          </c:cat>
          <c:val>
            <c:numRef>
              <c:f>'Forecast vs Actual'!$G$6:$G$29</c:f>
              <c:numCache>
                <c:formatCode>#,##0</c:formatCode>
                <c:ptCount val="24"/>
                <c:pt idx="12">
                  <c:v>14758</c:v>
                </c:pt>
                <c:pt idx="13">
                  <c:v>14917</c:v>
                </c:pt>
                <c:pt idx="14">
                  <c:v>14973</c:v>
                </c:pt>
                <c:pt idx="15">
                  <c:v>14995</c:v>
                </c:pt>
                <c:pt idx="16">
                  <c:v>15081</c:v>
                </c:pt>
                <c:pt idx="17">
                  <c:v>15046</c:v>
                </c:pt>
                <c:pt idx="18">
                  <c:v>15064</c:v>
                </c:pt>
                <c:pt idx="19">
                  <c:v>15018</c:v>
                </c:pt>
                <c:pt idx="20">
                  <c:v>14954</c:v>
                </c:pt>
                <c:pt idx="21">
                  <c:v>14916</c:v>
                </c:pt>
              </c:numCache>
            </c:numRef>
          </c:val>
          <c:smooth val="1"/>
        </c:ser>
        <c:ser>
          <c:idx val="3"/>
          <c:order val="3"/>
          <c:tx>
            <c:strRef>
              <c:f>"Coop/Woolpert 2/2025 (decline)"</c:f>
              <c:strCache>
                <c:ptCount val="1"/>
                <c:pt idx="0">
                  <c:v>Coop/Woolpert 2/2025 (decline)</c:v>
                </c:pt>
              </c:strCache>
            </c:strRef>
          </c:tx>
          <c:spPr>
            <a:solidFill>
              <a:srgbClr val="FF0000"/>
            </a:solidFill>
            <a:ln w="24120">
              <a:solidFill>
                <a:srgbClr val="FF0000"/>
              </a:solidFill>
              <a:prstDash val="sysDash"/>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4120">
                  <a:solidFill>
                    <a:srgbClr val="000000"/>
                  </a:solidFill>
                  <a:prstDash val="sysDash"/>
                </a:ln>
              </c:spPr>
            </c:leaderLines>
            <c:extLst>
              <c:ext xmlns:c15="http://schemas.microsoft.com/office/drawing/2012/chart" uri="{CE6537A1-D6FC-4f65-9D91-7224C49458BB}">
                <c15:showLeaderLines val="1"/>
              </c:ext>
            </c:extLst>
          </c:dLbls>
          <c:cat>
            <c:strRef>
              <c:f>'Forecast vs Actual'!$A$6:$A$29</c:f>
              <c:strCache>
                <c:ptCount val="24"/>
                <c:pt idx="0">
                  <c:v>2011-12</c:v>
                </c:pt>
                <c:pt idx="1">
                  <c:v>2012-13</c:v>
                </c:pt>
                <c:pt idx="2">
                  <c:v>2013-14</c:v>
                </c:pt>
                <c:pt idx="3">
                  <c:v>2014-15</c:v>
                </c:pt>
                <c:pt idx="4">
                  <c:v>2015-16</c:v>
                </c:pt>
                <c:pt idx="5">
                  <c:v>2016-17</c:v>
                </c:pt>
                <c:pt idx="6">
                  <c:v>2017-18</c:v>
                </c:pt>
                <c:pt idx="7">
                  <c:v>2018-19</c:v>
                </c:pt>
                <c:pt idx="8">
                  <c:v>2019-20</c:v>
                </c:pt>
                <c:pt idx="9">
                  <c:v>2020-21</c:v>
                </c:pt>
                <c:pt idx="10">
                  <c:v>2021-22</c:v>
                </c:pt>
                <c:pt idx="11">
                  <c:v>2022-23</c:v>
                </c:pt>
                <c:pt idx="12">
                  <c:v>2023-24</c:v>
                </c:pt>
                <c:pt idx="13">
                  <c:v>2024-25</c:v>
                </c:pt>
                <c:pt idx="14">
                  <c:v>2025-26</c:v>
                </c:pt>
                <c:pt idx="15">
                  <c:v>2026-27</c:v>
                </c:pt>
                <c:pt idx="16">
                  <c:v>2027-28</c:v>
                </c:pt>
                <c:pt idx="17">
                  <c:v>2028-29</c:v>
                </c:pt>
                <c:pt idx="18">
                  <c:v>2029-30</c:v>
                </c:pt>
                <c:pt idx="19">
                  <c:v>2030-31</c:v>
                </c:pt>
                <c:pt idx="20">
                  <c:v>2031-32</c:v>
                </c:pt>
                <c:pt idx="21">
                  <c:v>2032-33</c:v>
                </c:pt>
                <c:pt idx="22">
                  <c:v>2033-34</c:v>
                </c:pt>
                <c:pt idx="23">
                  <c:v>2034-35</c:v>
                </c:pt>
              </c:strCache>
            </c:strRef>
          </c:cat>
          <c:val>
            <c:numRef>
              <c:f>'Forecast vs Actual'!$I$6:$I$29</c:f>
              <c:numCache>
                <c:formatCode>#,##0</c:formatCode>
                <c:ptCount val="24"/>
                <c:pt idx="13">
                  <c:v>14415</c:v>
                </c:pt>
                <c:pt idx="14">
                  <c:v>14367</c:v>
                </c:pt>
                <c:pt idx="15">
                  <c:v>14339</c:v>
                </c:pt>
                <c:pt idx="16">
                  <c:v>14346</c:v>
                </c:pt>
                <c:pt idx="17">
                  <c:v>14228</c:v>
                </c:pt>
                <c:pt idx="18">
                  <c:v>14135</c:v>
                </c:pt>
                <c:pt idx="19">
                  <c:v>14049</c:v>
                </c:pt>
                <c:pt idx="20">
                  <c:v>13946</c:v>
                </c:pt>
                <c:pt idx="21">
                  <c:v>13872</c:v>
                </c:pt>
                <c:pt idx="22">
                  <c:v>13749</c:v>
                </c:pt>
                <c:pt idx="23">
                  <c:v>13609</c:v>
                </c:pt>
              </c:numCache>
            </c:numRef>
          </c:val>
          <c:smooth val="1"/>
        </c:ser>
        <c:ser>
          <c:idx val="4"/>
          <c:order val="4"/>
          <c:tx>
            <c:strRef>
              <c:f>"Actual - Headcount"</c:f>
              <c:strCache>
                <c:ptCount val="1"/>
                <c:pt idx="0">
                  <c:v>Actual - Headcount</c:v>
                </c:pt>
              </c:strCache>
            </c:strRef>
          </c:tx>
          <c:spPr>
            <a:solidFill>
              <a:srgbClr val="1F3864"/>
            </a:solidFill>
            <a:ln w="29880">
              <a:solidFill>
                <a:srgbClr val="1F3864"/>
              </a:solidFill>
              <a:round/>
            </a:ln>
          </c:spPr>
          <c:marker>
            <c:symbol val="circle"/>
            <c:size val="5"/>
            <c:spPr>
              <a:solidFill>
                <a:srgbClr val="1F3864"/>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9880">
                  <a:solidFill>
                    <a:srgbClr val="000000"/>
                  </a:solidFill>
                </a:ln>
              </c:spPr>
            </c:leaderLines>
            <c:extLst>
              <c:ext xmlns:c15="http://schemas.microsoft.com/office/drawing/2012/chart" uri="{CE6537A1-D6FC-4f65-9D91-7224C49458BB}">
                <c15:showLeaderLines val="1"/>
              </c:ext>
            </c:extLst>
          </c:dLbls>
          <c:cat>
            <c:strRef>
              <c:f>'Forecast vs Actual'!$A$6:$A$29</c:f>
              <c:strCache>
                <c:ptCount val="24"/>
                <c:pt idx="0">
                  <c:v>2011-12</c:v>
                </c:pt>
                <c:pt idx="1">
                  <c:v>2012-13</c:v>
                </c:pt>
                <c:pt idx="2">
                  <c:v>2013-14</c:v>
                </c:pt>
                <c:pt idx="3">
                  <c:v>2014-15</c:v>
                </c:pt>
                <c:pt idx="4">
                  <c:v>2015-16</c:v>
                </c:pt>
                <c:pt idx="5">
                  <c:v>2016-17</c:v>
                </c:pt>
                <c:pt idx="6">
                  <c:v>2017-18</c:v>
                </c:pt>
                <c:pt idx="7">
                  <c:v>2018-19</c:v>
                </c:pt>
                <c:pt idx="8">
                  <c:v>2019-20</c:v>
                </c:pt>
                <c:pt idx="9">
                  <c:v>2020-21</c:v>
                </c:pt>
                <c:pt idx="10">
                  <c:v>2021-22</c:v>
                </c:pt>
                <c:pt idx="11">
                  <c:v>2022-23</c:v>
                </c:pt>
                <c:pt idx="12">
                  <c:v>2023-24</c:v>
                </c:pt>
                <c:pt idx="13">
                  <c:v>2024-25</c:v>
                </c:pt>
                <c:pt idx="14">
                  <c:v>2025-26</c:v>
                </c:pt>
                <c:pt idx="15">
                  <c:v>2026-27</c:v>
                </c:pt>
                <c:pt idx="16">
                  <c:v>2027-28</c:v>
                </c:pt>
                <c:pt idx="17">
                  <c:v>2028-29</c:v>
                </c:pt>
                <c:pt idx="18">
                  <c:v>2029-30</c:v>
                </c:pt>
                <c:pt idx="19">
                  <c:v>2030-31</c:v>
                </c:pt>
                <c:pt idx="20">
                  <c:v>2031-32</c:v>
                </c:pt>
                <c:pt idx="21">
                  <c:v>2032-33</c:v>
                </c:pt>
                <c:pt idx="22">
                  <c:v>2033-34</c:v>
                </c:pt>
                <c:pt idx="23">
                  <c:v>2034-35</c:v>
                </c:pt>
              </c:strCache>
            </c:strRef>
          </c:cat>
          <c:val>
            <c:numRef>
              <c:f>'Forecast vs Actual'!$K$6:$K$29</c:f>
              <c:numCache>
                <c:formatCode>#,##0</c:formatCode>
                <c:ptCount val="24"/>
                <c:pt idx="2">
                  <c:v>12775</c:v>
                </c:pt>
                <c:pt idx="3">
                  <c:v>12930</c:v>
                </c:pt>
                <c:pt idx="4">
                  <c:v>13202</c:v>
                </c:pt>
                <c:pt idx="5">
                  <c:v>13516</c:v>
                </c:pt>
                <c:pt idx="6">
                  <c:v>13850</c:v>
                </c:pt>
                <c:pt idx="7">
                  <c:v>13990</c:v>
                </c:pt>
                <c:pt idx="8">
                  <c:v>14276</c:v>
                </c:pt>
                <c:pt idx="9">
                  <c:v>13947</c:v>
                </c:pt>
                <c:pt idx="10">
                  <c:v>14241</c:v>
                </c:pt>
                <c:pt idx="11">
                  <c:v>14262</c:v>
                </c:pt>
                <c:pt idx="12">
                  <c:v>14455</c:v>
                </c:pt>
                <c:pt idx="13">
                  <c:v>14415</c:v>
                </c:pt>
                <c:pt idx="14">
                  <c:v>14227</c:v>
                </c:pt>
              </c:numCache>
            </c:numRef>
          </c:val>
          <c:smooth val="1"/>
        </c:ser>
        <c:hiLowLines>
          <c:spPr>
            <a:ln w="0">
              <a:noFill/>
            </a:ln>
          </c:spPr>
        </c:hiLowLines>
        <c:marker val="1"/>
        <c:axId val="10103129"/>
        <c:axId val="57382162"/>
      </c:lineChart>
      <c:catAx>
        <c:axId val="1010312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School 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382162"/>
        <c:crosses val="autoZero"/>
        <c:auto val="1"/>
        <c:lblAlgn val="ctr"/>
        <c:lblOffset val="100"/>
        <c:noMultiLvlLbl val="0"/>
      </c:catAx>
      <c:valAx>
        <c:axId val="5738216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District enrollment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010312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ICCSD: district demographer forecasts ran hotter than Iowa DoE state projections</a:t>
            </a:r>
          </a:p>
        </c:rich>
      </c:tx>
      <c:overlay val="0"/>
      <c:spPr>
        <a:noFill/>
        <a:ln w="0">
          <a:noFill/>
        </a:ln>
      </c:spPr>
    </c:title>
    <c:autoTitleDeleted val="0"/>
    <c:plotArea>
      <c:lineChart>
        <c:grouping val="standard"/>
        <c:varyColors val="0"/>
        <c:ser>
          <c:idx val="0"/>
          <c:order val="0"/>
          <c:tx>
            <c:strRef>
              <c:f>"DoE Certified ACTUAL"</c:f>
              <c:strCache>
                <c:ptCount val="1"/>
                <c:pt idx="0">
                  <c:v>DoE Certified ACTUAL</c:v>
                </c:pt>
              </c:strCache>
            </c:strRef>
          </c:tx>
          <c:spPr>
            <a:solidFill>
              <a:srgbClr val="1F3864"/>
            </a:solidFill>
            <a:ln w="29880">
              <a:solidFill>
                <a:srgbClr val="1F3864"/>
              </a:solidFill>
              <a:round/>
            </a:ln>
          </c:spPr>
          <c:marker>
            <c:symbol val="circle"/>
            <c:size val="5"/>
            <c:spPr>
              <a:solidFill>
                <a:srgbClr val="1F3864"/>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9880">
                  <a:solidFill>
                    <a:srgbClr val="000000"/>
                  </a:solidFill>
                </a:ln>
              </c:spPr>
            </c:leaderLines>
            <c:extLst>
              <c:ext xmlns:c15="http://schemas.microsoft.com/office/drawing/2012/chart" uri="{CE6537A1-D6FC-4f65-9D91-7224C49458BB}">
                <c15:showLeaderLines val="1"/>
              </c:ext>
            </c:extLst>
          </c:dLbls>
          <c:cat>
            <c:strRef>
              <c:f>'Iowa DoE Benchmark'!$A$5:$A$26</c:f>
              <c:strCache>
                <c:ptCount val="22"/>
                <c:pt idx="0">
                  <c:v>2009-10</c:v>
                </c:pt>
                <c:pt idx="1">
                  <c:v>2010-11</c:v>
                </c:pt>
                <c:pt idx="2">
                  <c:v>2011-12</c:v>
                </c:pt>
                <c:pt idx="3">
                  <c:v>2012-13</c:v>
                </c:pt>
                <c:pt idx="4">
                  <c:v>2013-14</c:v>
                </c:pt>
                <c:pt idx="5">
                  <c:v>2014-15</c:v>
                </c:pt>
                <c:pt idx="6">
                  <c:v>2015-16</c:v>
                </c:pt>
                <c:pt idx="7">
                  <c:v>2016-17</c:v>
                </c:pt>
                <c:pt idx="8">
                  <c:v>2017-18</c:v>
                </c:pt>
                <c:pt idx="9">
                  <c:v>2018-19</c:v>
                </c:pt>
                <c:pt idx="10">
                  <c:v>2019-20</c:v>
                </c:pt>
                <c:pt idx="11">
                  <c:v>2020-21</c:v>
                </c:pt>
                <c:pt idx="12">
                  <c:v>2021-22</c:v>
                </c:pt>
                <c:pt idx="13">
                  <c:v>2022-23</c:v>
                </c:pt>
                <c:pt idx="14">
                  <c:v>2023-24</c:v>
                </c:pt>
                <c:pt idx="15">
                  <c:v>2024-25</c:v>
                </c:pt>
                <c:pt idx="16">
                  <c:v>2025-26</c:v>
                </c:pt>
                <c:pt idx="17">
                  <c:v>2026-27</c:v>
                </c:pt>
                <c:pt idx="18">
                  <c:v>2027-28</c:v>
                </c:pt>
                <c:pt idx="19">
                  <c:v>2028-29</c:v>
                </c:pt>
                <c:pt idx="20">
                  <c:v>2029-30</c:v>
                </c:pt>
                <c:pt idx="21">
                  <c:v>2030-31</c:v>
                </c:pt>
              </c:strCache>
            </c:strRef>
          </c:cat>
          <c:val>
            <c:numRef>
              <c:f>'Iowa DoE Benchmark'!$B$5:$B$26</c:f>
              <c:numCache>
                <c:formatCode>#,##0</c:formatCode>
                <c:ptCount val="22"/>
                <c:pt idx="0">
                  <c:v>11903.4</c:v>
                </c:pt>
                <c:pt idx="1">
                  <c:v>12010.8</c:v>
                </c:pt>
                <c:pt idx="2">
                  <c:v>12453.4</c:v>
                </c:pt>
                <c:pt idx="3">
                  <c:v>12774.4</c:v>
                </c:pt>
                <c:pt idx="4">
                  <c:v>13159.9</c:v>
                </c:pt>
                <c:pt idx="5">
                  <c:v>13328</c:v>
                </c:pt>
                <c:pt idx="6">
                  <c:v>13671.2</c:v>
                </c:pt>
                <c:pt idx="7">
                  <c:v>13981.6</c:v>
                </c:pt>
                <c:pt idx="8">
                  <c:v>14197.5</c:v>
                </c:pt>
                <c:pt idx="9">
                  <c:v>14285</c:v>
                </c:pt>
                <c:pt idx="10">
                  <c:v>14571.6</c:v>
                </c:pt>
                <c:pt idx="11">
                  <c:v>14283.8</c:v>
                </c:pt>
                <c:pt idx="12">
                  <c:v>14395</c:v>
                </c:pt>
                <c:pt idx="13">
                  <c:v>14439.8</c:v>
                </c:pt>
                <c:pt idx="14">
                  <c:v>14378.7</c:v>
                </c:pt>
                <c:pt idx="15">
                  <c:v>14550.6</c:v>
                </c:pt>
                <c:pt idx="16">
                  <c:v>14369.6</c:v>
                </c:pt>
              </c:numCache>
            </c:numRef>
          </c:val>
          <c:smooth val="1"/>
        </c:ser>
        <c:ser>
          <c:idx val="1"/>
          <c:order val="1"/>
          <c:tx>
            <c:strRef>
              <c:f>"State '18 (peak)"</c:f>
              <c:strCache>
                <c:ptCount val="1"/>
                <c:pt idx="0">
                  <c:v>State '18 (peak)</c:v>
                </c:pt>
              </c:strCache>
            </c:strRef>
          </c:tx>
          <c:spPr>
            <a:solidFill>
              <a:srgbClr val="548235"/>
            </a:solidFill>
            <a:ln w="18000">
              <a:solidFill>
                <a:srgbClr val="548235"/>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8000">
                  <a:solidFill>
                    <a:srgbClr val="000000"/>
                  </a:solidFill>
                </a:ln>
              </c:spPr>
            </c:leaderLines>
            <c:extLst>
              <c:ext xmlns:c15="http://schemas.microsoft.com/office/drawing/2012/chart" uri="{CE6537A1-D6FC-4f65-9D91-7224C49458BB}">
                <c15:showLeaderLines val="1"/>
              </c:ext>
            </c:extLst>
          </c:dLbls>
          <c:cat>
            <c:strRef>
              <c:f>'Iowa DoE Benchmark'!$A$5:$A$26</c:f>
              <c:strCache>
                <c:ptCount val="22"/>
                <c:pt idx="0">
                  <c:v>2009-10</c:v>
                </c:pt>
                <c:pt idx="1">
                  <c:v>2010-11</c:v>
                </c:pt>
                <c:pt idx="2">
                  <c:v>2011-12</c:v>
                </c:pt>
                <c:pt idx="3">
                  <c:v>2012-13</c:v>
                </c:pt>
                <c:pt idx="4">
                  <c:v>2013-14</c:v>
                </c:pt>
                <c:pt idx="5">
                  <c:v>2014-15</c:v>
                </c:pt>
                <c:pt idx="6">
                  <c:v>2015-16</c:v>
                </c:pt>
                <c:pt idx="7">
                  <c:v>2016-17</c:v>
                </c:pt>
                <c:pt idx="8">
                  <c:v>2017-18</c:v>
                </c:pt>
                <c:pt idx="9">
                  <c:v>2018-19</c:v>
                </c:pt>
                <c:pt idx="10">
                  <c:v>2019-20</c:v>
                </c:pt>
                <c:pt idx="11">
                  <c:v>2020-21</c:v>
                </c:pt>
                <c:pt idx="12">
                  <c:v>2021-22</c:v>
                </c:pt>
                <c:pt idx="13">
                  <c:v>2022-23</c:v>
                </c:pt>
                <c:pt idx="14">
                  <c:v>2023-24</c:v>
                </c:pt>
                <c:pt idx="15">
                  <c:v>2024-25</c:v>
                </c:pt>
                <c:pt idx="16">
                  <c:v>2025-26</c:v>
                </c:pt>
                <c:pt idx="17">
                  <c:v>2026-27</c:v>
                </c:pt>
                <c:pt idx="18">
                  <c:v>2027-28</c:v>
                </c:pt>
                <c:pt idx="19">
                  <c:v>2028-29</c:v>
                </c:pt>
                <c:pt idx="20">
                  <c:v>2029-30</c:v>
                </c:pt>
                <c:pt idx="21">
                  <c:v>2030-31</c:v>
                </c:pt>
              </c:strCache>
            </c:strRef>
          </c:cat>
          <c:val>
            <c:numRef>
              <c:f>'Iowa DoE Benchmark'!$J$5:$J$26</c:f>
              <c:numCache>
                <c:formatCode>#,##0</c:formatCode>
                <c:ptCount val="22"/>
                <c:pt idx="10">
                  <c:v>14511</c:v>
                </c:pt>
                <c:pt idx="11">
                  <c:v>14683</c:v>
                </c:pt>
                <c:pt idx="12">
                  <c:v>14862</c:v>
                </c:pt>
                <c:pt idx="13">
                  <c:v>14965</c:v>
                </c:pt>
                <c:pt idx="14">
                  <c:v>15109</c:v>
                </c:pt>
              </c:numCache>
            </c:numRef>
          </c:val>
          <c:smooth val="1"/>
        </c:ser>
        <c:ser>
          <c:idx val="2"/>
          <c:order val="2"/>
          <c:tx>
            <c:strRef>
              <c:f>"State '23 (decline)"</c:f>
              <c:strCache>
                <c:ptCount val="1"/>
                <c:pt idx="0">
                  <c:v>State '23 (decline)</c:v>
                </c:pt>
              </c:strCache>
            </c:strRef>
          </c:tx>
          <c:spPr>
            <a:solidFill>
              <a:srgbClr val="A9D08E"/>
            </a:solidFill>
            <a:ln w="18000">
              <a:solidFill>
                <a:srgbClr val="A9D08E"/>
              </a:solidFill>
              <a:prstDash val="sysDash"/>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8000">
                  <a:solidFill>
                    <a:srgbClr val="000000"/>
                  </a:solidFill>
                  <a:prstDash val="sysDash"/>
                </a:ln>
              </c:spPr>
            </c:leaderLines>
            <c:extLst>
              <c:ext xmlns:c15="http://schemas.microsoft.com/office/drawing/2012/chart" uri="{CE6537A1-D6FC-4f65-9D91-7224C49458BB}">
                <c15:showLeaderLines val="1"/>
              </c:ext>
            </c:extLst>
          </c:dLbls>
          <c:cat>
            <c:strRef>
              <c:f>'Iowa DoE Benchmark'!$A$5:$A$26</c:f>
              <c:strCache>
                <c:ptCount val="22"/>
                <c:pt idx="0">
                  <c:v>2009-10</c:v>
                </c:pt>
                <c:pt idx="1">
                  <c:v>2010-11</c:v>
                </c:pt>
                <c:pt idx="2">
                  <c:v>2011-12</c:v>
                </c:pt>
                <c:pt idx="3">
                  <c:v>2012-13</c:v>
                </c:pt>
                <c:pt idx="4">
                  <c:v>2013-14</c:v>
                </c:pt>
                <c:pt idx="5">
                  <c:v>2014-15</c:v>
                </c:pt>
                <c:pt idx="6">
                  <c:v>2015-16</c:v>
                </c:pt>
                <c:pt idx="7">
                  <c:v>2016-17</c:v>
                </c:pt>
                <c:pt idx="8">
                  <c:v>2017-18</c:v>
                </c:pt>
                <c:pt idx="9">
                  <c:v>2018-19</c:v>
                </c:pt>
                <c:pt idx="10">
                  <c:v>2019-20</c:v>
                </c:pt>
                <c:pt idx="11">
                  <c:v>2020-21</c:v>
                </c:pt>
                <c:pt idx="12">
                  <c:v>2021-22</c:v>
                </c:pt>
                <c:pt idx="13">
                  <c:v>2022-23</c:v>
                </c:pt>
                <c:pt idx="14">
                  <c:v>2023-24</c:v>
                </c:pt>
                <c:pt idx="15">
                  <c:v>2024-25</c:v>
                </c:pt>
                <c:pt idx="16">
                  <c:v>2025-26</c:v>
                </c:pt>
                <c:pt idx="17">
                  <c:v>2026-27</c:v>
                </c:pt>
                <c:pt idx="18">
                  <c:v>2027-28</c:v>
                </c:pt>
                <c:pt idx="19">
                  <c:v>2028-29</c:v>
                </c:pt>
                <c:pt idx="20">
                  <c:v>2029-30</c:v>
                </c:pt>
                <c:pt idx="21">
                  <c:v>2030-31</c:v>
                </c:pt>
              </c:strCache>
            </c:strRef>
          </c:cat>
          <c:val>
            <c:numRef>
              <c:f>'Iowa DoE Benchmark'!$M$5:$M$26</c:f>
              <c:numCache>
                <c:formatCode>#,##0</c:formatCode>
                <c:ptCount val="22"/>
                <c:pt idx="15">
                  <c:v>14270</c:v>
                </c:pt>
                <c:pt idx="16">
                  <c:v>14219</c:v>
                </c:pt>
                <c:pt idx="17">
                  <c:v>14134</c:v>
                </c:pt>
                <c:pt idx="18">
                  <c:v>14090</c:v>
                </c:pt>
                <c:pt idx="19">
                  <c:v>13899</c:v>
                </c:pt>
              </c:numCache>
            </c:numRef>
          </c:val>
          <c:smooth val="1"/>
        </c:ser>
        <c:ser>
          <c:idx val="3"/>
          <c:order val="3"/>
          <c:tx>
            <c:strRef>
              <c:f>"District DeJong '15 (bond)"</c:f>
              <c:strCache>
                <c:ptCount val="1"/>
                <c:pt idx="0">
                  <c:v>District DeJong '15 (bond)</c:v>
                </c:pt>
              </c:strCache>
            </c:strRef>
          </c:tx>
          <c:spPr>
            <a:solidFill>
              <a:srgbClr val="C55A11"/>
            </a:solidFill>
            <a:ln w="29880">
              <a:solidFill>
                <a:srgbClr val="C55A11"/>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9880">
                  <a:solidFill>
                    <a:srgbClr val="000000"/>
                  </a:solidFill>
                </a:ln>
              </c:spPr>
            </c:leaderLines>
            <c:extLst>
              <c:ext xmlns:c15="http://schemas.microsoft.com/office/drawing/2012/chart" uri="{CE6537A1-D6FC-4f65-9D91-7224C49458BB}">
                <c15:showLeaderLines val="1"/>
              </c:ext>
            </c:extLst>
          </c:dLbls>
          <c:cat>
            <c:strRef>
              <c:f>'Iowa DoE Benchmark'!$A$5:$A$26</c:f>
              <c:strCache>
                <c:ptCount val="22"/>
                <c:pt idx="0">
                  <c:v>2009-10</c:v>
                </c:pt>
                <c:pt idx="1">
                  <c:v>2010-11</c:v>
                </c:pt>
                <c:pt idx="2">
                  <c:v>2011-12</c:v>
                </c:pt>
                <c:pt idx="3">
                  <c:v>2012-13</c:v>
                </c:pt>
                <c:pt idx="4">
                  <c:v>2013-14</c:v>
                </c:pt>
                <c:pt idx="5">
                  <c:v>2014-15</c:v>
                </c:pt>
                <c:pt idx="6">
                  <c:v>2015-16</c:v>
                </c:pt>
                <c:pt idx="7">
                  <c:v>2016-17</c:v>
                </c:pt>
                <c:pt idx="8">
                  <c:v>2017-18</c:v>
                </c:pt>
                <c:pt idx="9">
                  <c:v>2018-19</c:v>
                </c:pt>
                <c:pt idx="10">
                  <c:v>2019-20</c:v>
                </c:pt>
                <c:pt idx="11">
                  <c:v>2020-21</c:v>
                </c:pt>
                <c:pt idx="12">
                  <c:v>2021-22</c:v>
                </c:pt>
                <c:pt idx="13">
                  <c:v>2022-23</c:v>
                </c:pt>
                <c:pt idx="14">
                  <c:v>2023-24</c:v>
                </c:pt>
                <c:pt idx="15">
                  <c:v>2024-25</c:v>
                </c:pt>
                <c:pt idx="16">
                  <c:v>2025-26</c:v>
                </c:pt>
                <c:pt idx="17">
                  <c:v>2026-27</c:v>
                </c:pt>
                <c:pt idx="18">
                  <c:v>2027-28</c:v>
                </c:pt>
                <c:pt idx="19">
                  <c:v>2028-29</c:v>
                </c:pt>
                <c:pt idx="20">
                  <c:v>2029-30</c:v>
                </c:pt>
                <c:pt idx="21">
                  <c:v>2030-31</c:v>
                </c:pt>
              </c:strCache>
            </c:strRef>
          </c:cat>
          <c:val>
            <c:numRef>
              <c:f>'Iowa DoE Benchmark'!$P$5:$P$26</c:f>
              <c:numCache>
                <c:formatCode>#,##0</c:formatCode>
                <c:ptCount val="22"/>
                <c:pt idx="6">
                  <c:v>13445</c:v>
                </c:pt>
                <c:pt idx="7">
                  <c:v>13841</c:v>
                </c:pt>
                <c:pt idx="8">
                  <c:v>14186</c:v>
                </c:pt>
                <c:pt idx="9">
                  <c:v>14546</c:v>
                </c:pt>
                <c:pt idx="10">
                  <c:v>14852</c:v>
                </c:pt>
                <c:pt idx="11">
                  <c:v>15222</c:v>
                </c:pt>
                <c:pt idx="12">
                  <c:v>15547</c:v>
                </c:pt>
                <c:pt idx="13">
                  <c:v>15803</c:v>
                </c:pt>
                <c:pt idx="14">
                  <c:v>16103</c:v>
                </c:pt>
                <c:pt idx="15">
                  <c:v>16317</c:v>
                </c:pt>
              </c:numCache>
            </c:numRef>
          </c:val>
          <c:smooth val="1"/>
        </c:ser>
        <c:ser>
          <c:idx val="4"/>
          <c:order val="4"/>
          <c:tx>
            <c:strRef>
              <c:f>"District Woolpert '25"</c:f>
              <c:strCache>
                <c:ptCount val="1"/>
                <c:pt idx="0">
                  <c:v>District Woolpert '25</c:v>
                </c:pt>
              </c:strCache>
            </c:strRef>
          </c:tx>
          <c:spPr>
            <a:solidFill>
              <a:srgbClr val="FF0000"/>
            </a:solidFill>
            <a:ln w="21960">
              <a:solidFill>
                <a:srgbClr val="FF0000"/>
              </a:solidFill>
              <a:prstDash val="sysDash"/>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1960">
                  <a:solidFill>
                    <a:srgbClr val="000000"/>
                  </a:solidFill>
                  <a:prstDash val="sysDash"/>
                </a:ln>
              </c:spPr>
            </c:leaderLines>
            <c:extLst>
              <c:ext xmlns:c15="http://schemas.microsoft.com/office/drawing/2012/chart" uri="{CE6537A1-D6FC-4f65-9D91-7224C49458BB}">
                <c15:showLeaderLines val="1"/>
              </c:ext>
            </c:extLst>
          </c:dLbls>
          <c:cat>
            <c:strRef>
              <c:f>'Iowa DoE Benchmark'!$A$5:$A$26</c:f>
              <c:strCache>
                <c:ptCount val="22"/>
                <c:pt idx="0">
                  <c:v>2009-10</c:v>
                </c:pt>
                <c:pt idx="1">
                  <c:v>2010-11</c:v>
                </c:pt>
                <c:pt idx="2">
                  <c:v>2011-12</c:v>
                </c:pt>
                <c:pt idx="3">
                  <c:v>2012-13</c:v>
                </c:pt>
                <c:pt idx="4">
                  <c:v>2013-14</c:v>
                </c:pt>
                <c:pt idx="5">
                  <c:v>2014-15</c:v>
                </c:pt>
                <c:pt idx="6">
                  <c:v>2015-16</c:v>
                </c:pt>
                <c:pt idx="7">
                  <c:v>2016-17</c:v>
                </c:pt>
                <c:pt idx="8">
                  <c:v>2017-18</c:v>
                </c:pt>
                <c:pt idx="9">
                  <c:v>2018-19</c:v>
                </c:pt>
                <c:pt idx="10">
                  <c:v>2019-20</c:v>
                </c:pt>
                <c:pt idx="11">
                  <c:v>2020-21</c:v>
                </c:pt>
                <c:pt idx="12">
                  <c:v>2021-22</c:v>
                </c:pt>
                <c:pt idx="13">
                  <c:v>2022-23</c:v>
                </c:pt>
                <c:pt idx="14">
                  <c:v>2023-24</c:v>
                </c:pt>
                <c:pt idx="15">
                  <c:v>2024-25</c:v>
                </c:pt>
                <c:pt idx="16">
                  <c:v>2025-26</c:v>
                </c:pt>
                <c:pt idx="17">
                  <c:v>2026-27</c:v>
                </c:pt>
                <c:pt idx="18">
                  <c:v>2027-28</c:v>
                </c:pt>
                <c:pt idx="19">
                  <c:v>2028-29</c:v>
                </c:pt>
                <c:pt idx="20">
                  <c:v>2029-30</c:v>
                </c:pt>
                <c:pt idx="21">
                  <c:v>2030-31</c:v>
                </c:pt>
              </c:strCache>
            </c:strRef>
          </c:cat>
          <c:val>
            <c:numRef>
              <c:f>'Iowa DoE Benchmark'!$R$5:$R$26</c:f>
              <c:numCache>
                <c:formatCode>#,##0</c:formatCode>
                <c:ptCount val="22"/>
                <c:pt idx="15">
                  <c:v>14415</c:v>
                </c:pt>
                <c:pt idx="16">
                  <c:v>14367</c:v>
                </c:pt>
                <c:pt idx="17">
                  <c:v>14339</c:v>
                </c:pt>
                <c:pt idx="18">
                  <c:v>14346</c:v>
                </c:pt>
                <c:pt idx="19">
                  <c:v>14228</c:v>
                </c:pt>
                <c:pt idx="20">
                  <c:v>14135</c:v>
                </c:pt>
                <c:pt idx="21">
                  <c:v>13609</c:v>
                </c:pt>
              </c:numCache>
            </c:numRef>
          </c:val>
          <c:smooth val="1"/>
        </c:ser>
        <c:hiLowLines>
          <c:spPr>
            <a:ln w="0">
              <a:noFill/>
            </a:ln>
          </c:spPr>
        </c:hiLowLines>
        <c:marker val="1"/>
        <c:axId val="17277952"/>
        <c:axId val="87016925"/>
      </c:lineChart>
      <c:catAx>
        <c:axId val="17277952"/>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School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7016925"/>
        <c:crosses val="autoZero"/>
        <c:auto val="1"/>
        <c:lblAlgn val="ctr"/>
        <c:lblOffset val="100"/>
        <c:noMultiLvlLbl val="0"/>
      </c:catAx>
      <c:valAx>
        <c:axId val="87016925"/>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Enrollment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727795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Johnson County births (peak 2016)</a:t>
            </a:r>
          </a:p>
        </c:rich>
      </c:tx>
      <c:overlay val="0"/>
      <c:spPr>
        <a:noFill/>
        <a:ln w="0">
          <a:noFill/>
        </a:ln>
      </c:spPr>
    </c:title>
    <c:autoTitleDeleted val="0"/>
    <c:plotArea>
      <c:lineChart>
        <c:grouping val="standard"/>
        <c:varyColors val="0"/>
        <c:ser>
          <c:idx val="0"/>
          <c:order val="0"/>
          <c:tx>
            <c:strRef>
              <c:f>"Births"</c:f>
              <c:strCache>
                <c:ptCount val="1"/>
                <c:pt idx="0">
                  <c:v>Births</c:v>
                </c:pt>
              </c:strCache>
            </c:strRef>
          </c:tx>
          <c:spPr>
            <a:solidFill>
              <a:srgbClr val="C55A11"/>
            </a:solidFill>
            <a:ln w="25920">
              <a:solidFill>
                <a:srgbClr val="C55A11"/>
              </a:solidFill>
              <a:round/>
            </a:ln>
          </c:spPr>
          <c:marker>
            <c:symbol val="circle"/>
            <c:size val="4"/>
            <c:spPr>
              <a:solidFill>
                <a:srgbClr val="C55A11"/>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5920">
                  <a:solidFill>
                    <a:srgbClr val="000000"/>
                  </a:solidFill>
                </a:ln>
              </c:spPr>
            </c:leaderLines>
            <c:extLst>
              <c:ext xmlns:c15="http://schemas.microsoft.com/office/drawing/2012/chart" uri="{CE6537A1-D6FC-4f65-9D91-7224C49458BB}">
                <c15:showLeaderLines val="1"/>
              </c:ext>
            </c:extLst>
          </c:dLbls>
          <c:cat>
            <c:strRef>
              <c:f>'Demographic Drivers'!$A$6:$A$25</c:f>
              <c:strCache>
                <c:ptCount val="20"/>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strCache>
            </c:strRef>
          </c:cat>
          <c:val>
            <c:numRef>
              <c:f>'Demographic Drivers'!$B$6:$B$25</c:f>
              <c:numCache>
                <c:formatCode>#,##0</c:formatCode>
                <c:ptCount val="20"/>
                <c:pt idx="0">
                  <c:v>1372</c:v>
                </c:pt>
                <c:pt idx="1">
                  <c:v>1443</c:v>
                </c:pt>
                <c:pt idx="2">
                  <c:v>1514</c:v>
                </c:pt>
                <c:pt idx="3">
                  <c:v>1560</c:v>
                </c:pt>
                <c:pt idx="4">
                  <c:v>1457</c:v>
                </c:pt>
                <c:pt idx="5">
                  <c:v>1615</c:v>
                </c:pt>
                <c:pt idx="6">
                  <c:v>1650</c:v>
                </c:pt>
                <c:pt idx="7">
                  <c:v>1719</c:v>
                </c:pt>
                <c:pt idx="8">
                  <c:v>1711</c:v>
                </c:pt>
                <c:pt idx="9">
                  <c:v>1792</c:v>
                </c:pt>
                <c:pt idx="10">
                  <c:v>1733</c:v>
                </c:pt>
                <c:pt idx="11">
                  <c:v>1830</c:v>
                </c:pt>
                <c:pt idx="12">
                  <c:v>1767</c:v>
                </c:pt>
                <c:pt idx="13">
                  <c:v>1824</c:v>
                </c:pt>
                <c:pt idx="14">
                  <c:v>1808</c:v>
                </c:pt>
                <c:pt idx="15">
                  <c:v>1856</c:v>
                </c:pt>
                <c:pt idx="16">
                  <c:v>1723</c:v>
                </c:pt>
                <c:pt idx="17">
                  <c:v>1735</c:v>
                </c:pt>
                <c:pt idx="18">
                  <c:v>1739</c:v>
                </c:pt>
                <c:pt idx="19">
                  <c:v>1621</c:v>
                </c:pt>
              </c:numCache>
            </c:numRef>
          </c:val>
          <c:smooth val="1"/>
        </c:ser>
        <c:hiLowLines>
          <c:spPr>
            <a:ln w="0">
              <a:noFill/>
            </a:ln>
          </c:spPr>
        </c:hiLowLines>
        <c:marker val="1"/>
        <c:axId val="37949882"/>
        <c:axId val="99124680"/>
      </c:lineChart>
      <c:catAx>
        <c:axId val="37949882"/>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Birth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9124680"/>
        <c:crosses val="autoZero"/>
        <c:auto val="1"/>
        <c:lblAlgn val="ctr"/>
        <c:lblOffset val="100"/>
        <c:noMultiLvlLbl val="0"/>
      </c:catAx>
      <c:valAx>
        <c:axId val="9912468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Births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7949882"/>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ICCSD immigrant students (rose to ~1,390)</a:t>
            </a:r>
          </a:p>
        </c:rich>
      </c:tx>
      <c:overlay val="0"/>
      <c:spPr>
        <a:noFill/>
        <a:ln w="0">
          <a:noFill/>
        </a:ln>
      </c:spPr>
    </c:title>
    <c:autoTitleDeleted val="0"/>
    <c:plotArea>
      <c:lineChart>
        <c:grouping val="standard"/>
        <c:varyColors val="0"/>
        <c:ser>
          <c:idx val="0"/>
          <c:order val="0"/>
          <c:tx>
            <c:strRef>
              <c:f>"Immigrants"</c:f>
              <c:strCache>
                <c:ptCount val="1"/>
                <c:pt idx="0">
                  <c:v>Immigrants</c:v>
                </c:pt>
              </c:strCache>
            </c:strRef>
          </c:tx>
          <c:spPr>
            <a:solidFill>
              <a:srgbClr val="2E5496"/>
            </a:solidFill>
            <a:ln w="25920">
              <a:solidFill>
                <a:srgbClr val="2E5496"/>
              </a:solidFill>
              <a:round/>
            </a:ln>
          </c:spPr>
          <c:marker>
            <c:symbol val="circle"/>
            <c:size val="4"/>
            <c:spPr>
              <a:solidFill>
                <a:srgbClr val="2E5496"/>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5920">
                  <a:solidFill>
                    <a:srgbClr val="000000"/>
                  </a:solidFill>
                </a:ln>
              </c:spPr>
            </c:leaderLines>
            <c:extLst>
              <c:ext xmlns:c15="http://schemas.microsoft.com/office/drawing/2012/chart" uri="{CE6537A1-D6FC-4f65-9D91-7224C49458BB}">
                <c15:showLeaderLines val="1"/>
              </c:ext>
            </c:extLst>
          </c:dLbls>
          <c:cat>
            <c:strRef>
              <c:f>'Demographic Drivers'!$E$6:$E$24</c:f>
              <c:strCache>
                <c:ptCount val="19"/>
                <c:pt idx="0">
                  <c:v>2007-08</c:v>
                </c:pt>
                <c:pt idx="1">
                  <c:v>2008-09</c:v>
                </c:pt>
                <c:pt idx="2">
                  <c:v>2009-10</c:v>
                </c:pt>
                <c:pt idx="3">
                  <c:v>2010-11</c:v>
                </c:pt>
                <c:pt idx="4">
                  <c:v>2011-12</c:v>
                </c:pt>
                <c:pt idx="5">
                  <c:v>2012-13</c:v>
                </c:pt>
                <c:pt idx="6">
                  <c:v>2013-14</c:v>
                </c:pt>
                <c:pt idx="7">
                  <c:v>2014-15</c:v>
                </c:pt>
                <c:pt idx="8">
                  <c:v>2015-16</c:v>
                </c:pt>
                <c:pt idx="9">
                  <c:v>2016-17</c:v>
                </c:pt>
                <c:pt idx="10">
                  <c:v>2017-18</c:v>
                </c:pt>
                <c:pt idx="11">
                  <c:v>2018-19</c:v>
                </c:pt>
                <c:pt idx="12">
                  <c:v>2019-20</c:v>
                </c:pt>
                <c:pt idx="13">
                  <c:v>2020-21</c:v>
                </c:pt>
                <c:pt idx="14">
                  <c:v>2021-22</c:v>
                </c:pt>
                <c:pt idx="15">
                  <c:v>2022-23</c:v>
                </c:pt>
                <c:pt idx="16">
                  <c:v>2023-24</c:v>
                </c:pt>
                <c:pt idx="17">
                  <c:v>2024-25</c:v>
                </c:pt>
                <c:pt idx="18">
                  <c:v>2025-26</c:v>
                </c:pt>
              </c:strCache>
            </c:strRef>
          </c:cat>
          <c:val>
            <c:numRef>
              <c:f>'Demographic Drivers'!$F$6:$F$24</c:f>
              <c:numCache>
                <c:formatCode>#,##0</c:formatCode>
                <c:ptCount val="19"/>
                <c:pt idx="0">
                  <c:v>0</c:v>
                </c:pt>
                <c:pt idx="1">
                  <c:v>0</c:v>
                </c:pt>
                <c:pt idx="2">
                  <c:v>21</c:v>
                </c:pt>
                <c:pt idx="3">
                  <c:v>15</c:v>
                </c:pt>
                <c:pt idx="4">
                  <c:v>5</c:v>
                </c:pt>
                <c:pt idx="5">
                  <c:v>179</c:v>
                </c:pt>
                <c:pt idx="6">
                  <c:v>329</c:v>
                </c:pt>
                <c:pt idx="7">
                  <c:v>552</c:v>
                </c:pt>
                <c:pt idx="8">
                  <c:v>715</c:v>
                </c:pt>
                <c:pt idx="9">
                  <c:v>836</c:v>
                </c:pt>
                <c:pt idx="10">
                  <c:v>966</c:v>
                </c:pt>
                <c:pt idx="11">
                  <c:v>950</c:v>
                </c:pt>
                <c:pt idx="12">
                  <c:v>1149</c:v>
                </c:pt>
                <c:pt idx="13">
                  <c:v>1164</c:v>
                </c:pt>
                <c:pt idx="14">
                  <c:v>1076</c:v>
                </c:pt>
                <c:pt idx="15">
                  <c:v>1084</c:v>
                </c:pt>
                <c:pt idx="16">
                  <c:v>1142</c:v>
                </c:pt>
                <c:pt idx="17">
                  <c:v>1390</c:v>
                </c:pt>
                <c:pt idx="18">
                  <c:v>1052</c:v>
                </c:pt>
              </c:numCache>
            </c:numRef>
          </c:val>
          <c:smooth val="1"/>
        </c:ser>
        <c:hiLowLines>
          <c:spPr>
            <a:ln w="0">
              <a:noFill/>
            </a:ln>
          </c:spPr>
        </c:hiLowLines>
        <c:marker val="1"/>
        <c:axId val="79944790"/>
        <c:axId val="85669315"/>
      </c:lineChart>
      <c:catAx>
        <c:axId val="79944790"/>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School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5669315"/>
        <c:crosses val="autoZero"/>
        <c:auto val="1"/>
        <c:lblAlgn val="ctr"/>
        <c:lblOffset val="100"/>
        <c:noMultiLvlLbl val="0"/>
      </c:catAx>
      <c:valAx>
        <c:axId val="85669315"/>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Immigrant students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9944790"/>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Forecast 'ceiling' peaked at the 2017 bond vote, then was revised down after issuance</a:t>
            </a:r>
          </a:p>
        </c:rich>
      </c:tx>
      <c:overlay val="0"/>
      <c:spPr>
        <a:noFill/>
        <a:ln w="0">
          <a:noFill/>
        </a:ln>
      </c:spPr>
    </c:title>
    <c:autoTitleDeleted val="0"/>
    <c:plotArea>
      <c:lineChart>
        <c:grouping val="standard"/>
        <c:varyColors val="0"/>
        <c:ser>
          <c:idx val="0"/>
          <c:order val="0"/>
          <c:tx>
            <c:strRef>
              <c:f>'Bond Timeline'!B19</c:f>
              <c:strCache>
                <c:ptCount val="1"/>
                <c:pt idx="0">
                  <c:v>Forecast ceiling (peak projected, by date made)</c:v>
                </c:pt>
              </c:strCache>
            </c:strRef>
          </c:tx>
          <c:spPr>
            <a:solidFill>
              <a:srgbClr val="C55A11"/>
            </a:solidFill>
            <a:ln w="29880">
              <a:solidFill>
                <a:srgbClr val="C55A11"/>
              </a:solidFill>
              <a:round/>
            </a:ln>
          </c:spPr>
          <c:marker>
            <c:symbol val="diamond"/>
            <c:size val="8"/>
            <c:spPr>
              <a:solidFill>
                <a:srgbClr val="C55A11"/>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9880">
                  <a:solidFill>
                    <a:srgbClr val="000000"/>
                  </a:solidFill>
                </a:ln>
              </c:spPr>
            </c:leaderLines>
            <c:extLst>
              <c:ext xmlns:c15="http://schemas.microsoft.com/office/drawing/2012/chart" uri="{CE6537A1-D6FC-4f65-9D91-7224C49458BB}">
                <c15:showLeaderLines val="1"/>
              </c:ext>
            </c:extLst>
          </c:dLbls>
          <c:cat>
            <c:strRef>
              <c:f>'Bond Timeline'!$A$20:$A$33</c:f>
              <c:strCache>
                <c:ptCount val="14"/>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strCache>
            </c:strRef>
          </c:cat>
          <c:val>
            <c:numRef>
              <c:f>'Bond Timeline'!$B$20:$B$33</c:f>
              <c:numCache>
                <c:formatCode>#,##0</c:formatCode>
                <c:ptCount val="14"/>
                <c:pt idx="0">
                  <c:v>15372</c:v>
                </c:pt>
                <c:pt idx="2">
                  <c:v>16317</c:v>
                </c:pt>
                <c:pt idx="3">
                  <c:v>15879</c:v>
                </c:pt>
                <c:pt idx="10">
                  <c:v>15081</c:v>
                </c:pt>
                <c:pt idx="12">
                  <c:v>14415</c:v>
                </c:pt>
              </c:numCache>
            </c:numRef>
          </c:val>
          <c:smooth val="1"/>
        </c:ser>
        <c:ser>
          <c:idx val="1"/>
          <c:order val="1"/>
          <c:tx>
            <c:strRef>
              <c:f>'Bond Timeline'!C19</c:f>
              <c:strCache>
                <c:ptCount val="1"/>
                <c:pt idx="0">
                  <c:v>Actual certified enrollment</c:v>
                </c:pt>
              </c:strCache>
            </c:strRef>
          </c:tx>
          <c:spPr>
            <a:solidFill>
              <a:srgbClr val="1F3864"/>
            </a:solidFill>
            <a:ln w="25920">
              <a:solidFill>
                <a:srgbClr val="1F3864"/>
              </a:solidFill>
              <a:round/>
            </a:ln>
          </c:spPr>
          <c:marker>
            <c:symbol val="circle"/>
            <c:size val="5"/>
            <c:spPr>
              <a:solidFill>
                <a:srgbClr val="1F3864"/>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5920">
                  <a:solidFill>
                    <a:srgbClr val="000000"/>
                  </a:solidFill>
                </a:ln>
              </c:spPr>
            </c:leaderLines>
            <c:extLst>
              <c:ext xmlns:c15="http://schemas.microsoft.com/office/drawing/2012/chart" uri="{CE6537A1-D6FC-4f65-9D91-7224C49458BB}">
                <c15:showLeaderLines val="1"/>
              </c:ext>
            </c:extLst>
          </c:dLbls>
          <c:cat>
            <c:strRef>
              <c:f>'Bond Timeline'!$A$20:$A$33</c:f>
              <c:strCache>
                <c:ptCount val="14"/>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strCache>
            </c:strRef>
          </c:cat>
          <c:val>
            <c:numRef>
              <c:f>'Bond Timeline'!$C$20:$C$33</c:f>
              <c:numCache>
                <c:formatCode>#,##0</c:formatCode>
                <c:ptCount val="14"/>
                <c:pt idx="0">
                  <c:v>13159.9</c:v>
                </c:pt>
                <c:pt idx="1">
                  <c:v>13328</c:v>
                </c:pt>
                <c:pt idx="2">
                  <c:v>13671.2</c:v>
                </c:pt>
                <c:pt idx="3">
                  <c:v>13981.6</c:v>
                </c:pt>
                <c:pt idx="4">
                  <c:v>14197.5</c:v>
                </c:pt>
                <c:pt idx="5">
                  <c:v>14285</c:v>
                </c:pt>
                <c:pt idx="6">
                  <c:v>14571.6</c:v>
                </c:pt>
                <c:pt idx="7">
                  <c:v>14283.8</c:v>
                </c:pt>
                <c:pt idx="8">
                  <c:v>14395</c:v>
                </c:pt>
                <c:pt idx="9">
                  <c:v>14439.8</c:v>
                </c:pt>
                <c:pt idx="10">
                  <c:v>14378.7</c:v>
                </c:pt>
                <c:pt idx="11">
                  <c:v>14550.6</c:v>
                </c:pt>
                <c:pt idx="12">
                  <c:v>14369.6</c:v>
                </c:pt>
              </c:numCache>
            </c:numRef>
          </c:val>
          <c:smooth val="1"/>
        </c:ser>
        <c:ser>
          <c:idx val="2"/>
          <c:order val="2"/>
          <c:tx>
            <c:strRef>
              <c:f>'Bond Timeline'!D19</c:f>
              <c:strCache>
                <c:ptCount val="1"/>
                <c:pt idx="0">
                  <c:v>GO bond event (flag)</c:v>
                </c:pt>
              </c:strCache>
            </c:strRef>
          </c:tx>
          <c:spPr>
            <a:solidFill>
              <a:srgbClr val="FF0000"/>
            </a:solidFill>
            <a:ln w="12600">
              <a:noFill/>
            </a:ln>
          </c:spPr>
          <c:marker>
            <c:symbol val="triangle"/>
            <c:size val="11"/>
            <c:spPr>
              <a:solidFill>
                <a:srgbClr val="FF0000"/>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noFill/>
                </a:ln>
              </c:spPr>
            </c:leaderLines>
            <c:extLst>
              <c:ext xmlns:c15="http://schemas.microsoft.com/office/drawing/2012/chart" uri="{CE6537A1-D6FC-4f65-9D91-7224C49458BB}">
                <c15:showLeaderLines val="1"/>
              </c:ext>
            </c:extLst>
          </c:dLbls>
          <c:cat>
            <c:strRef>
              <c:f>'Bond Timeline'!$A$20:$A$33</c:f>
              <c:strCache>
                <c:ptCount val="14"/>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strCache>
            </c:strRef>
          </c:cat>
          <c:val>
            <c:numRef>
              <c:f>'Bond Timeline'!$D$20:$D$33</c:f>
              <c:numCache>
                <c:formatCode>General</c:formatCode>
                <c:ptCount val="14"/>
                <c:pt idx="4">
                  <c:v>16600</c:v>
                </c:pt>
                <c:pt idx="6">
                  <c:v>16600</c:v>
                </c:pt>
                <c:pt idx="7">
                  <c:v>16600</c:v>
                </c:pt>
              </c:numCache>
            </c:numRef>
          </c:val>
          <c:smooth val="1"/>
        </c:ser>
        <c:hiLowLines>
          <c:spPr>
            <a:ln w="0">
              <a:noFill/>
            </a:ln>
          </c:spPr>
        </c:hiLowLines>
        <c:marker val="1"/>
        <c:axId val="37456234"/>
        <c:axId val="71279173"/>
      </c:lineChart>
      <c:catAx>
        <c:axId val="37456234"/>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Calendar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1279173"/>
        <c:crosses val="autoZero"/>
        <c:auto val="1"/>
        <c:lblAlgn val="ctr"/>
        <c:lblOffset val="100"/>
        <c:noMultiLvlLbl val="0"/>
      </c:catAx>
      <c:valAx>
        <c:axId val="71279173"/>
        <c:scaling>
          <c:orientation val="minMax"/>
          <c:max val="16800"/>
          <c:min val="12500"/>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Enrollment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7456234"/>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Official Statement projections vs. actual certified enrollment</a:t>
            </a:r>
          </a:p>
        </c:rich>
      </c:tx>
      <c:overlay val="0"/>
      <c:spPr>
        <a:noFill/>
        <a:ln w="0">
          <a:noFill/>
        </a:ln>
      </c:spPr>
    </c:title>
    <c:autoTitleDeleted val="0"/>
    <c:plotArea>
      <c:lineChart>
        <c:grouping val="standard"/>
        <c:varyColors val="0"/>
        <c:ser>
          <c:idx val="0"/>
          <c:order val="0"/>
          <c:tx>
            <c:strRef>
              <c:f>"OS 2017C"</c:f>
              <c:strCache>
                <c:ptCount val="1"/>
                <c:pt idx="0">
                  <c:v>OS 2017C</c:v>
                </c:pt>
              </c:strCache>
            </c:strRef>
          </c:tx>
          <c:spPr>
            <a:solidFill>
              <a:srgbClr val="ED7D31"/>
            </a:solidFill>
            <a:ln w="20160">
              <a:solidFill>
                <a:srgbClr val="ED7D31"/>
              </a:solidFill>
              <a:prstDash val="sysDash"/>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0160">
                  <a:solidFill>
                    <a:srgbClr val="000000"/>
                  </a:solidFill>
                  <a:prstDash val="sysDash"/>
                </a:ln>
              </c:spPr>
            </c:leaderLines>
            <c:extLst>
              <c:ext xmlns:c15="http://schemas.microsoft.com/office/drawing/2012/chart" uri="{CE6537A1-D6FC-4f65-9D91-7224C49458BB}">
                <c15:showLeaderLines val="1"/>
              </c:ext>
            </c:extLst>
          </c:dLbls>
          <c:cat>
            <c:strRef>
              <c:f>'OS Investor Projections'!$A$5:$A$11</c:f>
              <c:strCache>
                <c:ptCount val="7"/>
                <c:pt idx="0">
                  <c:v>2018-19</c:v>
                </c:pt>
                <c:pt idx="1">
                  <c:v>2019-20</c:v>
                </c:pt>
                <c:pt idx="2">
                  <c:v>2020-21</c:v>
                </c:pt>
                <c:pt idx="3">
                  <c:v>2021-22</c:v>
                </c:pt>
                <c:pt idx="4">
                  <c:v>2022-23</c:v>
                </c:pt>
                <c:pt idx="5">
                  <c:v>2023-24</c:v>
                </c:pt>
                <c:pt idx="6">
                  <c:v>2024-25</c:v>
                </c:pt>
              </c:strCache>
            </c:strRef>
          </c:cat>
          <c:val>
            <c:numRef>
              <c:f>'OS Investor Projections'!$B$5:$B$11</c:f>
              <c:numCache>
                <c:formatCode>#,##0</c:formatCode>
                <c:ptCount val="7"/>
                <c:pt idx="0">
                  <c:v>14198</c:v>
                </c:pt>
                <c:pt idx="1">
                  <c:v>14450</c:v>
                </c:pt>
                <c:pt idx="2">
                  <c:v>14678</c:v>
                </c:pt>
                <c:pt idx="3">
                  <c:v>14870</c:v>
                </c:pt>
                <c:pt idx="4">
                  <c:v>15076</c:v>
                </c:pt>
              </c:numCache>
            </c:numRef>
          </c:val>
          <c:smooth val="1"/>
        </c:ser>
        <c:ser>
          <c:idx val="1"/>
          <c:order val="1"/>
          <c:tx>
            <c:strRef>
              <c:f>"OS 2019"</c:f>
              <c:strCache>
                <c:ptCount val="1"/>
                <c:pt idx="0">
                  <c:v>OS 2019</c:v>
                </c:pt>
              </c:strCache>
            </c:strRef>
          </c:tx>
          <c:spPr>
            <a:solidFill>
              <a:srgbClr val="BF9000"/>
            </a:solidFill>
            <a:ln w="20160">
              <a:solidFill>
                <a:srgbClr val="BF9000"/>
              </a:solidFill>
              <a:prstDash val="sysDash"/>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0160">
                  <a:solidFill>
                    <a:srgbClr val="000000"/>
                  </a:solidFill>
                  <a:prstDash val="sysDash"/>
                </a:ln>
              </c:spPr>
            </c:leaderLines>
            <c:extLst>
              <c:ext xmlns:c15="http://schemas.microsoft.com/office/drawing/2012/chart" uri="{CE6537A1-D6FC-4f65-9D91-7224C49458BB}">
                <c15:showLeaderLines val="1"/>
              </c:ext>
            </c:extLst>
          </c:dLbls>
          <c:cat>
            <c:strRef>
              <c:f>'OS Investor Projections'!$A$5:$A$11</c:f>
              <c:strCache>
                <c:ptCount val="7"/>
                <c:pt idx="0">
                  <c:v>2018-19</c:v>
                </c:pt>
                <c:pt idx="1">
                  <c:v>2019-20</c:v>
                </c:pt>
                <c:pt idx="2">
                  <c:v>2020-21</c:v>
                </c:pt>
                <c:pt idx="3">
                  <c:v>2021-22</c:v>
                </c:pt>
                <c:pt idx="4">
                  <c:v>2022-23</c:v>
                </c:pt>
                <c:pt idx="5">
                  <c:v>2023-24</c:v>
                </c:pt>
                <c:pt idx="6">
                  <c:v>2024-25</c:v>
                </c:pt>
              </c:strCache>
            </c:strRef>
          </c:cat>
          <c:val>
            <c:numRef>
              <c:f>'OS Investor Projections'!$C$5:$C$11</c:f>
              <c:numCache>
                <c:formatCode>#,##0</c:formatCode>
                <c:ptCount val="7"/>
                <c:pt idx="2">
                  <c:v>14393</c:v>
                </c:pt>
                <c:pt idx="3">
                  <c:v>14511</c:v>
                </c:pt>
                <c:pt idx="4">
                  <c:v>14642</c:v>
                </c:pt>
                <c:pt idx="5">
                  <c:v>14826</c:v>
                </c:pt>
                <c:pt idx="6">
                  <c:v>15003</c:v>
                </c:pt>
              </c:numCache>
            </c:numRef>
          </c:val>
          <c:smooth val="1"/>
        </c:ser>
        <c:ser>
          <c:idx val="2"/>
          <c:order val="2"/>
          <c:tx>
            <c:strRef>
              <c:f>"OS 2020"</c:f>
              <c:strCache>
                <c:ptCount val="1"/>
                <c:pt idx="0">
                  <c:v>OS 2020</c:v>
                </c:pt>
              </c:strCache>
            </c:strRef>
          </c:tx>
          <c:spPr>
            <a:solidFill>
              <a:srgbClr val="2E5496"/>
            </a:solidFill>
            <a:ln w="20160">
              <a:solidFill>
                <a:srgbClr val="2E5496"/>
              </a:solidFill>
              <a:prstDash val="sysDash"/>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0160">
                  <a:solidFill>
                    <a:srgbClr val="000000"/>
                  </a:solidFill>
                  <a:prstDash val="sysDash"/>
                </a:ln>
              </c:spPr>
            </c:leaderLines>
            <c:extLst>
              <c:ext xmlns:c15="http://schemas.microsoft.com/office/drawing/2012/chart" uri="{CE6537A1-D6FC-4f65-9D91-7224C49458BB}">
                <c15:showLeaderLines val="1"/>
              </c:ext>
            </c:extLst>
          </c:dLbls>
          <c:cat>
            <c:strRef>
              <c:f>'OS Investor Projections'!$A$5:$A$11</c:f>
              <c:strCache>
                <c:ptCount val="7"/>
                <c:pt idx="0">
                  <c:v>2018-19</c:v>
                </c:pt>
                <c:pt idx="1">
                  <c:v>2019-20</c:v>
                </c:pt>
                <c:pt idx="2">
                  <c:v>2020-21</c:v>
                </c:pt>
                <c:pt idx="3">
                  <c:v>2021-22</c:v>
                </c:pt>
                <c:pt idx="4">
                  <c:v>2022-23</c:v>
                </c:pt>
                <c:pt idx="5">
                  <c:v>2023-24</c:v>
                </c:pt>
                <c:pt idx="6">
                  <c:v>2024-25</c:v>
                </c:pt>
              </c:strCache>
            </c:strRef>
          </c:cat>
          <c:val>
            <c:numRef>
              <c:f>'OS Investor Projections'!$D$5:$D$11</c:f>
              <c:numCache>
                <c:formatCode>#,##0</c:formatCode>
                <c:ptCount val="7"/>
                <c:pt idx="3">
                  <c:v>14870</c:v>
                </c:pt>
                <c:pt idx="4">
                  <c:v>15076</c:v>
                </c:pt>
                <c:pt idx="5">
                  <c:v>14826</c:v>
                </c:pt>
                <c:pt idx="6">
                  <c:v>15003</c:v>
                </c:pt>
              </c:numCache>
            </c:numRef>
          </c:val>
          <c:smooth val="1"/>
        </c:ser>
        <c:ser>
          <c:idx val="3"/>
          <c:order val="3"/>
          <c:tx>
            <c:strRef>
              <c:f>"Actual certified"</c:f>
              <c:strCache>
                <c:ptCount val="1"/>
                <c:pt idx="0">
                  <c:v>Actual certified</c:v>
                </c:pt>
              </c:strCache>
            </c:strRef>
          </c:tx>
          <c:spPr>
            <a:solidFill>
              <a:srgbClr val="C00000"/>
            </a:solidFill>
            <a:ln w="29880">
              <a:solidFill>
                <a:srgbClr val="C00000"/>
              </a:solidFill>
              <a:round/>
            </a:ln>
          </c:spPr>
          <c:marker>
            <c:symbol val="circle"/>
            <c:size val="6"/>
            <c:spPr>
              <a:solidFill>
                <a:srgbClr val="C00000"/>
              </a:solidFill>
            </c:spPr>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9880">
                  <a:solidFill>
                    <a:srgbClr val="000000"/>
                  </a:solidFill>
                </a:ln>
              </c:spPr>
            </c:leaderLines>
            <c:extLst>
              <c:ext xmlns:c15="http://schemas.microsoft.com/office/drawing/2012/chart" uri="{CE6537A1-D6FC-4f65-9D91-7224C49458BB}">
                <c15:showLeaderLines val="1"/>
              </c:ext>
            </c:extLst>
          </c:dLbls>
          <c:cat>
            <c:strRef>
              <c:f>'OS Investor Projections'!$A$5:$A$11</c:f>
              <c:strCache>
                <c:ptCount val="7"/>
                <c:pt idx="0">
                  <c:v>2018-19</c:v>
                </c:pt>
                <c:pt idx="1">
                  <c:v>2019-20</c:v>
                </c:pt>
                <c:pt idx="2">
                  <c:v>2020-21</c:v>
                </c:pt>
                <c:pt idx="3">
                  <c:v>2021-22</c:v>
                </c:pt>
                <c:pt idx="4">
                  <c:v>2022-23</c:v>
                </c:pt>
                <c:pt idx="5">
                  <c:v>2023-24</c:v>
                </c:pt>
                <c:pt idx="6">
                  <c:v>2024-25</c:v>
                </c:pt>
              </c:strCache>
            </c:strRef>
          </c:cat>
          <c:val>
            <c:numRef>
              <c:f>'OS Investor Projections'!$E$5:$E$11</c:f>
              <c:numCache>
                <c:formatCode>#,##0</c:formatCode>
                <c:ptCount val="7"/>
                <c:pt idx="0">
                  <c:v>14285.1</c:v>
                </c:pt>
                <c:pt idx="1">
                  <c:v>14571.6</c:v>
                </c:pt>
                <c:pt idx="2">
                  <c:v>14283.8</c:v>
                </c:pt>
                <c:pt idx="3">
                  <c:v>14395</c:v>
                </c:pt>
                <c:pt idx="4">
                  <c:v>14439.8</c:v>
                </c:pt>
                <c:pt idx="5">
                  <c:v>14378.7</c:v>
                </c:pt>
                <c:pt idx="6">
                  <c:v>14550.6</c:v>
                </c:pt>
              </c:numCache>
            </c:numRef>
          </c:val>
          <c:smooth val="1"/>
        </c:ser>
        <c:hiLowLines>
          <c:spPr>
            <a:ln w="0">
              <a:noFill/>
            </a:ln>
          </c:spPr>
        </c:hiLowLines>
        <c:marker val="1"/>
        <c:axId val="86974004"/>
        <c:axId val="29879404"/>
      </c:lineChart>
      <c:catAx>
        <c:axId val="86974004"/>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Fiscal year</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9879404"/>
        <c:crosses val="autoZero"/>
        <c:auto val="1"/>
        <c:lblAlgn val="ctr"/>
        <c:lblOffset val="100"/>
        <c:noMultiLvlLbl val="0"/>
      </c:catAx>
      <c:valAx>
        <c:axId val="29879404"/>
        <c:scaling>
          <c:orientation val="minMax"/>
          <c:max val="15200"/>
          <c:min val="14000"/>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Certified enrollment</a:t>
                </a:r>
              </a:p>
            </c:rich>
          </c:tx>
          <c:overlay val="0"/>
          <c:spPr>
            <a:noFill/>
            <a:ln w="0">
              <a:noFill/>
            </a:ln>
          </c:spPr>
        </c:title>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6974004"/>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4.xml.rels><?xml version="1.0" encoding="UTF-8"?>
<Relationships xmlns="http://schemas.openxmlformats.org/package/2006/relationships"><Relationship Id="rId1" Type="http://schemas.openxmlformats.org/officeDocument/2006/relationships/chart" Target="../charts/chart5.xml"/>
</Relationships>
</file>

<file path=xl/drawings/_rels/drawing5.xml.rels><?xml version="1.0" encoding="UTF-8"?>
<Relationships xmlns="http://schemas.openxmlformats.org/package/2006/relationships"><Relationship Id="rId1"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3</xdr:row>
      <xdr:rowOff>0</xdr:rowOff>
    </xdr:from>
    <xdr:to>
      <xdr:col>26</xdr:col>
      <xdr:colOff>77040</xdr:colOff>
      <xdr:row>20</xdr:row>
      <xdr:rowOff>131040</xdr:rowOff>
    </xdr:to>
    <xdr:graphicFrame>
      <xdr:nvGraphicFramePr>
        <xdr:cNvPr id="1" name="Chart 1"/>
        <xdr:cNvGraphicFramePr/>
      </xdr:nvGraphicFramePr>
      <xdr:xfrm>
        <a:off x="10854720" y="609480"/>
        <a:ext cx="8638200" cy="359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3</xdr:row>
      <xdr:rowOff>0</xdr:rowOff>
    </xdr:from>
    <xdr:to>
      <xdr:col>34</xdr:col>
      <xdr:colOff>186120</xdr:colOff>
      <xdr:row>21</xdr:row>
      <xdr:rowOff>36000</xdr:rowOff>
    </xdr:to>
    <xdr:graphicFrame>
      <xdr:nvGraphicFramePr>
        <xdr:cNvPr id="2" name="Chart 1"/>
        <xdr:cNvGraphicFramePr/>
      </xdr:nvGraphicFramePr>
      <xdr:xfrm>
        <a:off x="11682720" y="600120"/>
        <a:ext cx="9358560" cy="359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3</xdr:row>
      <xdr:rowOff>0</xdr:rowOff>
    </xdr:from>
    <xdr:to>
      <xdr:col>16</xdr:col>
      <xdr:colOff>398160</xdr:colOff>
      <xdr:row>16</xdr:row>
      <xdr:rowOff>128880</xdr:rowOff>
    </xdr:to>
    <xdr:graphicFrame>
      <xdr:nvGraphicFramePr>
        <xdr:cNvPr id="3" name="Chart 1"/>
        <xdr:cNvGraphicFramePr/>
      </xdr:nvGraphicFramePr>
      <xdr:xfrm>
        <a:off x="6932160" y="600120"/>
        <a:ext cx="4678920" cy="2691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19</xdr:row>
      <xdr:rowOff>0</xdr:rowOff>
    </xdr:from>
    <xdr:to>
      <xdr:col>16</xdr:col>
      <xdr:colOff>398160</xdr:colOff>
      <xdr:row>28</xdr:row>
      <xdr:rowOff>260280</xdr:rowOff>
    </xdr:to>
    <xdr:graphicFrame>
      <xdr:nvGraphicFramePr>
        <xdr:cNvPr id="4" name="Chart 2"/>
        <xdr:cNvGraphicFramePr/>
      </xdr:nvGraphicFramePr>
      <xdr:xfrm>
        <a:off x="6932160" y="3733920"/>
        <a:ext cx="4678920" cy="26985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xdr:row>
      <xdr:rowOff>0</xdr:rowOff>
    </xdr:from>
    <xdr:to>
      <xdr:col>20</xdr:col>
      <xdr:colOff>78120</xdr:colOff>
      <xdr:row>21</xdr:row>
      <xdr:rowOff>180720</xdr:rowOff>
    </xdr:to>
    <xdr:graphicFrame>
      <xdr:nvGraphicFramePr>
        <xdr:cNvPr id="5" name="Chart 1"/>
        <xdr:cNvGraphicFramePr/>
      </xdr:nvGraphicFramePr>
      <xdr:xfrm>
        <a:off x="9210600" y="600120"/>
        <a:ext cx="8639280" cy="37717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0</xdr:rowOff>
    </xdr:from>
    <xdr:to>
      <xdr:col>18</xdr:col>
      <xdr:colOff>473040</xdr:colOff>
      <xdr:row>14</xdr:row>
      <xdr:rowOff>269640</xdr:rowOff>
    </xdr:to>
    <xdr:graphicFrame>
      <xdr:nvGraphicFramePr>
        <xdr:cNvPr id="6" name="Chart 1"/>
        <xdr:cNvGraphicFramePr/>
      </xdr:nvGraphicFramePr>
      <xdr:xfrm>
        <a:off x="7025760" y="58608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11" min="2" style="1" width="13"/>
    <col collapsed="false" customWidth="true" hidden="false" outlineLevel="0" max="12" min="12" style="1" width="14"/>
  </cols>
  <sheetData>
    <row r="1" customFormat="false" ht="18" hidden="false" customHeight="true" outlineLevel="0" collapsed="false">
      <c r="A1" s="2" t="s">
        <v>0</v>
      </c>
    </row>
    <row r="2" customFormat="false" ht="15" hidden="false" customHeight="true" outlineLevel="0" collapsed="false">
      <c r="A2" s="3" t="s">
        <v>1</v>
      </c>
    </row>
    <row r="4" customFormat="false" ht="24" hidden="false" customHeight="true" outlineLevel="0" collapsed="false">
      <c r="A4" s="4" t="s">
        <v>2</v>
      </c>
      <c r="B4" s="4" t="s">
        <v>3</v>
      </c>
      <c r="C4" s="4" t="s">
        <v>4</v>
      </c>
      <c r="D4" s="4" t="s">
        <v>4</v>
      </c>
      <c r="E4" s="4" t="s">
        <v>4</v>
      </c>
      <c r="F4" s="4" t="s">
        <v>4</v>
      </c>
      <c r="G4" s="4" t="s">
        <v>5</v>
      </c>
      <c r="H4" s="4" t="s">
        <v>6</v>
      </c>
      <c r="I4" s="4" t="s">
        <v>7</v>
      </c>
      <c r="J4" s="4" t="s">
        <v>8</v>
      </c>
      <c r="K4" s="4" t="s">
        <v>9</v>
      </c>
      <c r="L4" s="4" t="s">
        <v>10</v>
      </c>
    </row>
    <row r="5" customFormat="false" ht="24" hidden="false" customHeight="true" outlineLevel="0" collapsed="false">
      <c r="A5" s="5" t="s">
        <v>11</v>
      </c>
      <c r="B5" s="5" t="s">
        <v>12</v>
      </c>
      <c r="C5" s="5" t="s">
        <v>13</v>
      </c>
      <c r="D5" s="5" t="s">
        <v>14</v>
      </c>
      <c r="E5" s="5" t="s">
        <v>15</v>
      </c>
      <c r="F5" s="5" t="s">
        <v>16</v>
      </c>
      <c r="G5" s="5" t="s">
        <v>17</v>
      </c>
      <c r="H5" s="5" t="s">
        <v>18</v>
      </c>
      <c r="I5" s="5" t="s">
        <v>19</v>
      </c>
      <c r="J5" s="5" t="s">
        <v>20</v>
      </c>
      <c r="K5" s="5" t="s">
        <v>21</v>
      </c>
      <c r="L5" s="5" t="s">
        <v>22</v>
      </c>
    </row>
    <row r="6" customFormat="false" ht="15" hidden="false" customHeight="true" outlineLevel="0" collapsed="false">
      <c r="A6" s="6" t="s">
        <v>23</v>
      </c>
      <c r="B6" s="7" t="n">
        <v>12110</v>
      </c>
      <c r="C6" s="8"/>
      <c r="D6" s="9"/>
      <c r="E6" s="8"/>
      <c r="F6" s="8"/>
      <c r="G6" s="8"/>
      <c r="H6" s="8"/>
      <c r="I6" s="8"/>
      <c r="J6" s="10"/>
      <c r="K6" s="10"/>
      <c r="L6" s="11" t="n">
        <v>12453.4</v>
      </c>
    </row>
    <row r="7" customFormat="false" ht="15" hidden="false" customHeight="true" outlineLevel="0" collapsed="false">
      <c r="A7" s="6" t="s">
        <v>24</v>
      </c>
      <c r="B7" s="7" t="n">
        <v>12450</v>
      </c>
      <c r="C7" s="12" t="n">
        <v>12479</v>
      </c>
      <c r="D7" s="9"/>
      <c r="E7" s="8"/>
      <c r="F7" s="8"/>
      <c r="G7" s="8"/>
      <c r="H7" s="8"/>
      <c r="I7" s="8"/>
      <c r="J7" s="10"/>
      <c r="K7" s="10"/>
      <c r="L7" s="11" t="n">
        <v>12774.4</v>
      </c>
    </row>
    <row r="8" customFormat="false" ht="15" hidden="false" customHeight="true" outlineLevel="0" collapsed="false">
      <c r="A8" s="6" t="s">
        <v>25</v>
      </c>
      <c r="B8" s="7" t="n">
        <v>12760</v>
      </c>
      <c r="C8" s="12" t="n">
        <v>12826</v>
      </c>
      <c r="D8" s="9"/>
      <c r="E8" s="8"/>
      <c r="F8" s="8"/>
      <c r="G8" s="8"/>
      <c r="H8" s="8"/>
      <c r="I8" s="8"/>
      <c r="J8" s="10" t="n">
        <v>12427</v>
      </c>
      <c r="K8" s="10" t="n">
        <v>12775</v>
      </c>
      <c r="L8" s="11" t="n">
        <v>13159.9</v>
      </c>
    </row>
    <row r="9" customFormat="false" ht="15" hidden="false" customHeight="true" outlineLevel="0" collapsed="false">
      <c r="A9" s="6" t="s">
        <v>26</v>
      </c>
      <c r="B9" s="7" t="n">
        <v>13070</v>
      </c>
      <c r="C9" s="12" t="n">
        <v>13157</v>
      </c>
      <c r="D9" s="7" t="n">
        <v>13260</v>
      </c>
      <c r="E9" s="8"/>
      <c r="F9" s="8"/>
      <c r="G9" s="8"/>
      <c r="H9" s="8"/>
      <c r="I9" s="8"/>
      <c r="J9" s="10" t="n">
        <v>12599</v>
      </c>
      <c r="K9" s="10" t="n">
        <v>12930</v>
      </c>
      <c r="L9" s="11" t="n">
        <v>13328</v>
      </c>
    </row>
    <row r="10" customFormat="false" ht="15" hidden="false" customHeight="true" outlineLevel="0" collapsed="false">
      <c r="A10" s="6" t="s">
        <v>27</v>
      </c>
      <c r="B10" s="9"/>
      <c r="C10" s="12" t="n">
        <v>13639</v>
      </c>
      <c r="D10" s="7" t="n">
        <v>13680</v>
      </c>
      <c r="E10" s="13" t="n">
        <v>13445</v>
      </c>
      <c r="F10" s="8"/>
      <c r="G10" s="8"/>
      <c r="H10" s="8"/>
      <c r="I10" s="8"/>
      <c r="J10" s="10" t="n">
        <v>12911</v>
      </c>
      <c r="K10" s="10" t="n">
        <v>13202</v>
      </c>
      <c r="L10" s="11" t="n">
        <v>13671.2</v>
      </c>
    </row>
    <row r="11" customFormat="false" ht="15" hidden="false" customHeight="true" outlineLevel="0" collapsed="false">
      <c r="A11" s="6" t="s">
        <v>28</v>
      </c>
      <c r="B11" s="9"/>
      <c r="C11" s="12" t="n">
        <v>14053</v>
      </c>
      <c r="D11" s="7" t="n">
        <v>14070</v>
      </c>
      <c r="E11" s="13" t="n">
        <v>13841</v>
      </c>
      <c r="F11" s="8"/>
      <c r="G11" s="8"/>
      <c r="H11" s="8"/>
      <c r="I11" s="8"/>
      <c r="J11" s="10" t="n">
        <v>13219</v>
      </c>
      <c r="K11" s="10" t="n">
        <v>13516</v>
      </c>
      <c r="L11" s="11" t="n">
        <v>13981.6</v>
      </c>
    </row>
    <row r="12" customFormat="false" ht="15" hidden="false" customHeight="true" outlineLevel="0" collapsed="false">
      <c r="A12" s="6" t="s">
        <v>29</v>
      </c>
      <c r="B12" s="9"/>
      <c r="C12" s="12" t="n">
        <v>14300</v>
      </c>
      <c r="D12" s="7" t="n">
        <v>14500</v>
      </c>
      <c r="E12" s="13" t="n">
        <v>14186</v>
      </c>
      <c r="F12" s="14" t="n">
        <v>13941</v>
      </c>
      <c r="G12" s="8"/>
      <c r="H12" s="8"/>
      <c r="I12" s="8"/>
      <c r="J12" s="10" t="n">
        <v>13522</v>
      </c>
      <c r="K12" s="10" t="n">
        <v>13850</v>
      </c>
      <c r="L12" s="11" t="n">
        <v>14197.5</v>
      </c>
    </row>
    <row r="13" customFormat="false" ht="15" hidden="false" customHeight="true" outlineLevel="0" collapsed="false">
      <c r="A13" s="6" t="s">
        <v>30</v>
      </c>
      <c r="B13" s="9"/>
      <c r="C13" s="12" t="n">
        <v>14580</v>
      </c>
      <c r="D13" s="7" t="n">
        <v>14850</v>
      </c>
      <c r="E13" s="13" t="n">
        <v>14546</v>
      </c>
      <c r="F13" s="14" t="n">
        <v>14261</v>
      </c>
      <c r="G13" s="8"/>
      <c r="H13" s="8"/>
      <c r="I13" s="8"/>
      <c r="J13" s="10" t="n">
        <v>13706</v>
      </c>
      <c r="K13" s="10" t="n">
        <v>13990</v>
      </c>
      <c r="L13" s="11" t="n">
        <v>14285</v>
      </c>
    </row>
    <row r="14" customFormat="false" ht="15" hidden="false" customHeight="true" outlineLevel="0" collapsed="false">
      <c r="A14" s="6" t="s">
        <v>31</v>
      </c>
      <c r="B14" s="9"/>
      <c r="C14" s="12" t="n">
        <v>14820</v>
      </c>
      <c r="D14" s="9"/>
      <c r="E14" s="13" t="n">
        <v>14852</v>
      </c>
      <c r="F14" s="14" t="n">
        <v>14561</v>
      </c>
      <c r="G14" s="8"/>
      <c r="H14" s="8"/>
      <c r="I14" s="8"/>
      <c r="J14" s="10" t="n">
        <v>13997</v>
      </c>
      <c r="K14" s="10" t="n">
        <v>14276</v>
      </c>
      <c r="L14" s="11" t="n">
        <v>14571.6</v>
      </c>
    </row>
    <row r="15" customFormat="false" ht="15" hidden="false" customHeight="true" outlineLevel="0" collapsed="false">
      <c r="A15" s="6" t="s">
        <v>32</v>
      </c>
      <c r="B15" s="9"/>
      <c r="C15" s="12" t="n">
        <v>15030</v>
      </c>
      <c r="D15" s="9"/>
      <c r="E15" s="13" t="n">
        <v>15222</v>
      </c>
      <c r="F15" s="14" t="n">
        <v>14818</v>
      </c>
      <c r="G15" s="8"/>
      <c r="H15" s="8"/>
      <c r="I15" s="8"/>
      <c r="J15" s="10" t="n">
        <v>13784</v>
      </c>
      <c r="K15" s="10" t="n">
        <v>13947</v>
      </c>
      <c r="L15" s="11" t="n">
        <v>14283.8</v>
      </c>
    </row>
    <row r="16" customFormat="false" ht="15" hidden="false" customHeight="true" outlineLevel="0" collapsed="false">
      <c r="A16" s="6" t="s">
        <v>33</v>
      </c>
      <c r="B16" s="9"/>
      <c r="C16" s="12" t="n">
        <v>15230</v>
      </c>
      <c r="D16" s="9"/>
      <c r="E16" s="13" t="n">
        <v>15547</v>
      </c>
      <c r="F16" s="14" t="n">
        <v>15092</v>
      </c>
      <c r="G16" s="8"/>
      <c r="H16" s="8"/>
      <c r="I16" s="8"/>
      <c r="J16" s="10" t="n">
        <v>14237</v>
      </c>
      <c r="K16" s="10" t="n">
        <v>14241</v>
      </c>
      <c r="L16" s="11" t="n">
        <v>14395</v>
      </c>
    </row>
    <row r="17" customFormat="false" ht="15" hidden="false" customHeight="true" outlineLevel="0" collapsed="false">
      <c r="A17" s="6" t="s">
        <v>34</v>
      </c>
      <c r="B17" s="9"/>
      <c r="C17" s="12" t="n">
        <v>15372</v>
      </c>
      <c r="D17" s="9"/>
      <c r="E17" s="13" t="n">
        <v>15803</v>
      </c>
      <c r="F17" s="14" t="n">
        <v>15260</v>
      </c>
      <c r="G17" s="8"/>
      <c r="H17" s="8"/>
      <c r="I17" s="8"/>
      <c r="J17" s="10" t="n">
        <v>14496</v>
      </c>
      <c r="K17" s="10" t="n">
        <v>14262</v>
      </c>
      <c r="L17" s="11" t="n">
        <v>14439.8</v>
      </c>
    </row>
    <row r="18" customFormat="false" ht="15" hidden="false" customHeight="true" outlineLevel="0" collapsed="false">
      <c r="A18" s="6" t="s">
        <v>35</v>
      </c>
      <c r="B18" s="9"/>
      <c r="C18" s="8"/>
      <c r="D18" s="9"/>
      <c r="E18" s="13" t="n">
        <v>16103</v>
      </c>
      <c r="F18" s="14" t="n">
        <v>15495</v>
      </c>
      <c r="G18" s="15" t="n">
        <v>14758</v>
      </c>
      <c r="H18" s="16" t="n">
        <v>14378.7</v>
      </c>
      <c r="I18" s="8"/>
      <c r="J18" s="10"/>
      <c r="K18" s="10" t="n">
        <v>14455</v>
      </c>
      <c r="L18" s="11" t="n">
        <v>14378.7</v>
      </c>
    </row>
    <row r="19" customFormat="false" ht="15" hidden="false" customHeight="true" outlineLevel="0" collapsed="false">
      <c r="A19" s="6" t="s">
        <v>36</v>
      </c>
      <c r="B19" s="9"/>
      <c r="C19" s="8"/>
      <c r="D19" s="9"/>
      <c r="E19" s="13" t="n">
        <v>16317</v>
      </c>
      <c r="F19" s="14" t="n">
        <v>15671</v>
      </c>
      <c r="G19" s="15" t="n">
        <v>14917</v>
      </c>
      <c r="H19" s="17" t="n">
        <v>14350</v>
      </c>
      <c r="I19" s="18" t="n">
        <v>14415</v>
      </c>
      <c r="J19" s="10"/>
      <c r="K19" s="10" t="n">
        <v>14415</v>
      </c>
      <c r="L19" s="11" t="n">
        <v>14550.6</v>
      </c>
    </row>
    <row r="20" customFormat="false" ht="15" hidden="false" customHeight="true" outlineLevel="0" collapsed="false">
      <c r="A20" s="6" t="s">
        <v>37</v>
      </c>
      <c r="B20" s="9"/>
      <c r="C20" s="8"/>
      <c r="D20" s="9"/>
      <c r="E20" s="8"/>
      <c r="F20" s="14" t="n">
        <v>15814</v>
      </c>
      <c r="G20" s="15" t="n">
        <v>14973</v>
      </c>
      <c r="H20" s="16" t="n">
        <v>14321.3</v>
      </c>
      <c r="I20" s="18" t="n">
        <v>14367</v>
      </c>
      <c r="J20" s="10"/>
      <c r="K20" s="10" t="n">
        <v>14227</v>
      </c>
      <c r="L20" s="11" t="n">
        <v>14369.6</v>
      </c>
    </row>
    <row r="21" customFormat="false" ht="15" hidden="false" customHeight="true" outlineLevel="0" collapsed="false">
      <c r="A21" s="6" t="s">
        <v>38</v>
      </c>
      <c r="B21" s="9"/>
      <c r="C21" s="8"/>
      <c r="D21" s="9"/>
      <c r="E21" s="8"/>
      <c r="F21" s="14" t="n">
        <v>15879</v>
      </c>
      <c r="G21" s="15" t="n">
        <v>14995</v>
      </c>
      <c r="H21" s="16" t="n">
        <v>14292.6</v>
      </c>
      <c r="I21" s="18" t="n">
        <v>14339</v>
      </c>
      <c r="J21" s="10"/>
      <c r="K21" s="10"/>
      <c r="L21" s="11"/>
    </row>
    <row r="22" customFormat="false" ht="15" hidden="false" customHeight="true" outlineLevel="0" collapsed="false">
      <c r="A22" s="6" t="s">
        <v>39</v>
      </c>
      <c r="B22" s="9"/>
      <c r="C22" s="8"/>
      <c r="D22" s="9"/>
      <c r="E22" s="8"/>
      <c r="F22" s="8"/>
      <c r="G22" s="15" t="n">
        <v>15081</v>
      </c>
      <c r="H22" s="16" t="n">
        <v>14264.1</v>
      </c>
      <c r="I22" s="18" t="n">
        <v>14346</v>
      </c>
      <c r="J22" s="10"/>
      <c r="K22" s="10"/>
      <c r="L22" s="11"/>
    </row>
    <row r="23" customFormat="false" ht="15" hidden="false" customHeight="true" outlineLevel="0" collapsed="false">
      <c r="A23" s="6" t="s">
        <v>40</v>
      </c>
      <c r="B23" s="9"/>
      <c r="C23" s="8"/>
      <c r="D23" s="9"/>
      <c r="E23" s="8"/>
      <c r="F23" s="8"/>
      <c r="G23" s="15" t="n">
        <v>15046</v>
      </c>
      <c r="H23" s="8"/>
      <c r="I23" s="18" t="n">
        <v>14228</v>
      </c>
      <c r="J23" s="10"/>
      <c r="K23" s="10"/>
      <c r="L23" s="11"/>
    </row>
    <row r="24" customFormat="false" ht="15" hidden="false" customHeight="true" outlineLevel="0" collapsed="false">
      <c r="A24" s="6" t="s">
        <v>41</v>
      </c>
      <c r="B24" s="9"/>
      <c r="C24" s="8"/>
      <c r="D24" s="9"/>
      <c r="E24" s="8"/>
      <c r="F24" s="8"/>
      <c r="G24" s="15" t="n">
        <v>15064</v>
      </c>
      <c r="H24" s="8"/>
      <c r="I24" s="18" t="n">
        <v>14135</v>
      </c>
      <c r="J24" s="10"/>
      <c r="K24" s="10"/>
      <c r="L24" s="11"/>
    </row>
    <row r="25" customFormat="false" ht="15" hidden="false" customHeight="true" outlineLevel="0" collapsed="false">
      <c r="A25" s="6" t="s">
        <v>42</v>
      </c>
      <c r="B25" s="9"/>
      <c r="C25" s="8"/>
      <c r="D25" s="9"/>
      <c r="E25" s="8"/>
      <c r="F25" s="8"/>
      <c r="G25" s="15" t="n">
        <v>15018</v>
      </c>
      <c r="H25" s="8"/>
      <c r="I25" s="18" t="n">
        <v>14049</v>
      </c>
      <c r="J25" s="10"/>
      <c r="K25" s="10"/>
      <c r="L25" s="11"/>
    </row>
    <row r="26" customFormat="false" ht="15" hidden="false" customHeight="true" outlineLevel="0" collapsed="false">
      <c r="A26" s="6" t="s">
        <v>43</v>
      </c>
      <c r="B26" s="9"/>
      <c r="C26" s="8"/>
      <c r="D26" s="9"/>
      <c r="E26" s="8"/>
      <c r="F26" s="8"/>
      <c r="G26" s="15" t="n">
        <v>14954</v>
      </c>
      <c r="H26" s="8"/>
      <c r="I26" s="18" t="n">
        <v>13946</v>
      </c>
      <c r="J26" s="10"/>
      <c r="K26" s="10"/>
      <c r="L26" s="11"/>
    </row>
    <row r="27" customFormat="false" ht="15" hidden="false" customHeight="true" outlineLevel="0" collapsed="false">
      <c r="A27" s="6" t="s">
        <v>44</v>
      </c>
      <c r="B27" s="9"/>
      <c r="C27" s="8"/>
      <c r="D27" s="9"/>
      <c r="E27" s="8"/>
      <c r="F27" s="8"/>
      <c r="G27" s="15" t="n">
        <v>14916</v>
      </c>
      <c r="H27" s="8"/>
      <c r="I27" s="18" t="n">
        <v>13872</v>
      </c>
      <c r="J27" s="10"/>
      <c r="K27" s="10"/>
      <c r="L27" s="11"/>
    </row>
    <row r="28" customFormat="false" ht="15" hidden="false" customHeight="true" outlineLevel="0" collapsed="false">
      <c r="A28" s="6" t="s">
        <v>45</v>
      </c>
      <c r="B28" s="9"/>
      <c r="C28" s="8"/>
      <c r="D28" s="9"/>
      <c r="E28" s="8"/>
      <c r="F28" s="8"/>
      <c r="G28" s="8"/>
      <c r="H28" s="8"/>
      <c r="I28" s="18" t="n">
        <v>13749</v>
      </c>
      <c r="J28" s="10"/>
      <c r="K28" s="10"/>
      <c r="L28" s="11"/>
    </row>
    <row r="29" customFormat="false" ht="15" hidden="false" customHeight="true" outlineLevel="0" collapsed="false">
      <c r="A29" s="6" t="s">
        <v>46</v>
      </c>
      <c r="B29" s="9"/>
      <c r="C29" s="8"/>
      <c r="D29" s="9"/>
      <c r="E29" s="8"/>
      <c r="F29" s="8"/>
      <c r="G29" s="8"/>
      <c r="H29" s="8"/>
      <c r="I29" s="18" t="n">
        <v>13609</v>
      </c>
      <c r="J29" s="10"/>
      <c r="K29" s="10"/>
      <c r="L29" s="11"/>
    </row>
    <row r="31" customFormat="false" ht="30" hidden="false" customHeight="true" outlineLevel="0" collapsed="false">
      <c r="A31" s="19" t="s">
        <v>47</v>
      </c>
      <c r="B31" s="19"/>
      <c r="C31" s="19"/>
      <c r="D31" s="19"/>
      <c r="E31" s="19"/>
      <c r="F31" s="19"/>
      <c r="G31" s="19"/>
      <c r="H31" s="19"/>
      <c r="I31" s="19"/>
      <c r="J31" s="19"/>
      <c r="K31" s="19"/>
    </row>
    <row r="32" customFormat="false" ht="30" hidden="false" customHeight="true" outlineLevel="0" collapsed="false">
      <c r="A32" s="19" t="s">
        <v>48</v>
      </c>
      <c r="B32" s="19"/>
      <c r="C32" s="19"/>
      <c r="D32" s="19"/>
      <c r="E32" s="19"/>
      <c r="F32" s="19"/>
      <c r="G32" s="19"/>
      <c r="H32" s="19"/>
      <c r="I32" s="19"/>
      <c r="J32" s="19"/>
      <c r="K32" s="19"/>
    </row>
    <row r="33" customFormat="false" ht="30" hidden="false" customHeight="true" outlineLevel="0" collapsed="false">
      <c r="A33" s="19" t="s">
        <v>49</v>
      </c>
      <c r="B33" s="19"/>
      <c r="C33" s="19"/>
      <c r="D33" s="19"/>
      <c r="E33" s="19"/>
      <c r="F33" s="19"/>
      <c r="G33" s="19"/>
      <c r="H33" s="19"/>
      <c r="I33" s="19"/>
      <c r="J33" s="19"/>
      <c r="K33" s="19"/>
    </row>
    <row r="34" customFormat="false" ht="30" hidden="false" customHeight="true" outlineLevel="0" collapsed="false">
      <c r="A34" s="19" t="s">
        <v>50</v>
      </c>
      <c r="B34" s="19"/>
      <c r="C34" s="19"/>
      <c r="D34" s="19"/>
      <c r="E34" s="19"/>
      <c r="F34" s="19"/>
      <c r="G34" s="19"/>
      <c r="H34" s="19"/>
      <c r="I34" s="19"/>
      <c r="J34" s="19"/>
      <c r="K34" s="19"/>
    </row>
  </sheetData>
  <mergeCells count="4">
    <mergeCell ref="A31:K31"/>
    <mergeCell ref="A32:K32"/>
    <mergeCell ref="A33:K33"/>
    <mergeCell ref="A34:K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5" min="2" style="1" width="15"/>
    <col collapsed="false" customWidth="true" hidden="false" outlineLevel="0" max="6" min="6" style="1" width="34"/>
  </cols>
  <sheetData>
    <row r="1" customFormat="false" ht="17.25" hidden="false" customHeight="true" outlineLevel="0" collapsed="false">
      <c r="A1" s="20" t="s">
        <v>51</v>
      </c>
    </row>
    <row r="3" customFormat="false" ht="23.25" hidden="false" customHeight="true" outlineLevel="0" collapsed="false">
      <c r="A3" s="21" t="s">
        <v>52</v>
      </c>
      <c r="B3" s="21" t="s">
        <v>53</v>
      </c>
      <c r="C3" s="21" t="s">
        <v>54</v>
      </c>
      <c r="D3" s="21" t="s">
        <v>55</v>
      </c>
      <c r="E3" s="21" t="s">
        <v>56</v>
      </c>
      <c r="F3" s="21" t="s">
        <v>57</v>
      </c>
    </row>
    <row r="4" customFormat="false" ht="15" hidden="false" customHeight="true" outlineLevel="0" collapsed="false">
      <c r="A4" s="22" t="s">
        <v>58</v>
      </c>
      <c r="B4" s="13" t="n">
        <v>16317</v>
      </c>
      <c r="C4" s="13" t="n">
        <v>14415</v>
      </c>
      <c r="D4" s="13" t="n">
        <f aca="false">B4-C4</f>
        <v>1902</v>
      </c>
      <c r="E4" s="23" t="n">
        <f aca="false">(B4-C4)/C4</f>
        <v>0.131945889698231</v>
      </c>
      <c r="F4" s="22" t="s">
        <v>59</v>
      </c>
    </row>
    <row r="5" customFormat="false" ht="15" hidden="false" customHeight="true" outlineLevel="0" collapsed="false">
      <c r="A5" s="22" t="s">
        <v>60</v>
      </c>
      <c r="B5" s="13" t="n">
        <v>15671</v>
      </c>
      <c r="C5" s="13" t="n">
        <v>14415</v>
      </c>
      <c r="D5" s="13" t="n">
        <f aca="false">B5-C5</f>
        <v>1256</v>
      </c>
      <c r="E5" s="23" t="n">
        <f aca="false">(B5-C5)/C5</f>
        <v>0.087131460284426</v>
      </c>
      <c r="F5" s="22" t="s">
        <v>61</v>
      </c>
    </row>
    <row r="6" customFormat="false" ht="15" hidden="false" customHeight="true" outlineLevel="0" collapsed="false">
      <c r="A6" s="24" t="s">
        <v>62</v>
      </c>
      <c r="B6" s="8" t="n">
        <v>14917</v>
      </c>
      <c r="C6" s="8" t="n">
        <v>14415</v>
      </c>
      <c r="D6" s="8" t="n">
        <f aca="false">B6-C6</f>
        <v>502</v>
      </c>
      <c r="E6" s="25" t="n">
        <f aca="false">(B6-C6)/C6</f>
        <v>0.0348248352410683</v>
      </c>
      <c r="F6" s="24" t="s">
        <v>63</v>
      </c>
    </row>
    <row r="7" customFormat="false" ht="15" hidden="false" customHeight="true" outlineLevel="0" collapsed="false">
      <c r="A7" s="24" t="s">
        <v>64</v>
      </c>
      <c r="B7" s="8" t="n">
        <v>14350</v>
      </c>
      <c r="C7" s="8" t="n">
        <v>14415</v>
      </c>
      <c r="D7" s="8" t="n">
        <f aca="false">B7-C7</f>
        <v>-65</v>
      </c>
      <c r="E7" s="25" t="n">
        <f aca="false">(B7-C7)/C7</f>
        <v>-0.00450919181408255</v>
      </c>
      <c r="F7" s="24" t="s">
        <v>65</v>
      </c>
    </row>
    <row r="8" customFormat="false" ht="15" hidden="false" customHeight="true" outlineLevel="0" collapsed="false">
      <c r="A8" s="24" t="s">
        <v>66</v>
      </c>
      <c r="B8" s="8" t="n">
        <v>14415</v>
      </c>
      <c r="C8" s="8" t="n">
        <v>14415</v>
      </c>
      <c r="D8" s="8" t="n">
        <f aca="false">B8-C8</f>
        <v>0</v>
      </c>
      <c r="E8" s="25" t="n">
        <f aca="false">(B8-C8)/C8</f>
        <v>0</v>
      </c>
      <c r="F8" s="24" t="s">
        <v>67</v>
      </c>
    </row>
    <row r="10" customFormat="false" ht="42" hidden="false" customHeight="true" outlineLevel="0" collapsed="false">
      <c r="A10" s="19" t="s">
        <v>68</v>
      </c>
      <c r="B10" s="19"/>
      <c r="C10" s="19"/>
      <c r="D10" s="19"/>
      <c r="E10" s="19"/>
      <c r="F10" s="19"/>
    </row>
  </sheetData>
  <mergeCells count="1">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20"/>
  </cols>
  <sheetData>
    <row r="1" customFormat="false" ht="17.25" hidden="false" customHeight="true" outlineLevel="0" collapsed="false">
      <c r="A1" s="20" t="s">
        <v>69</v>
      </c>
    </row>
    <row r="3" customFormat="false" ht="15.75" hidden="false" customHeight="true" outlineLevel="0" collapsed="false">
      <c r="A3" s="26" t="s">
        <v>70</v>
      </c>
      <c r="B3" s="26"/>
      <c r="C3" s="26"/>
      <c r="D3" s="26"/>
      <c r="E3" s="26"/>
      <c r="F3" s="26"/>
      <c r="G3" s="26"/>
      <c r="H3" s="26"/>
    </row>
    <row r="4" customFormat="false" ht="31.5" hidden="false" customHeight="true" outlineLevel="0" collapsed="false">
      <c r="A4" s="19" t="s">
        <v>71</v>
      </c>
      <c r="B4" s="19"/>
      <c r="C4" s="19"/>
      <c r="D4" s="19"/>
      <c r="E4" s="19"/>
      <c r="F4" s="19"/>
      <c r="G4" s="19"/>
      <c r="H4" s="19"/>
    </row>
    <row r="5" customFormat="false" ht="13.5" hidden="false" customHeight="true" outlineLevel="0" collapsed="false">
      <c r="A5" s="19"/>
      <c r="B5" s="19"/>
      <c r="C5" s="19"/>
      <c r="D5" s="19"/>
      <c r="E5" s="19"/>
      <c r="F5" s="19"/>
      <c r="G5" s="19"/>
      <c r="H5" s="19"/>
    </row>
    <row r="6" customFormat="false" ht="15.75" hidden="false" customHeight="true" outlineLevel="0" collapsed="false">
      <c r="A6" s="26" t="s">
        <v>72</v>
      </c>
      <c r="B6" s="26"/>
      <c r="C6" s="26"/>
      <c r="D6" s="26"/>
      <c r="E6" s="26"/>
      <c r="F6" s="26"/>
      <c r="G6" s="26"/>
      <c r="H6" s="26"/>
    </row>
    <row r="7" customFormat="false" ht="31.5" hidden="false" customHeight="true" outlineLevel="0" collapsed="false">
      <c r="A7" s="19" t="s">
        <v>73</v>
      </c>
      <c r="B7" s="19"/>
      <c r="C7" s="19"/>
      <c r="D7" s="19"/>
      <c r="E7" s="19"/>
      <c r="F7" s="19"/>
      <c r="G7" s="19"/>
      <c r="H7" s="19"/>
    </row>
    <row r="8" customFormat="false" ht="15.75" hidden="false" customHeight="true" outlineLevel="0" collapsed="false">
      <c r="A8" s="19" t="s">
        <v>74</v>
      </c>
      <c r="B8" s="19"/>
      <c r="C8" s="19"/>
      <c r="D8" s="19"/>
      <c r="E8" s="19"/>
      <c r="F8" s="19"/>
      <c r="G8" s="19"/>
      <c r="H8" s="19"/>
    </row>
    <row r="9" customFormat="false" ht="15.75" hidden="false" customHeight="true" outlineLevel="0" collapsed="false">
      <c r="A9" s="19" t="s">
        <v>75</v>
      </c>
      <c r="B9" s="19"/>
      <c r="C9" s="19"/>
      <c r="D9" s="19"/>
      <c r="E9" s="19"/>
      <c r="F9" s="19"/>
      <c r="G9" s="19"/>
      <c r="H9" s="19"/>
    </row>
    <row r="10" customFormat="false" ht="15.75" hidden="false" customHeight="true" outlineLevel="0" collapsed="false">
      <c r="A10" s="19" t="s">
        <v>76</v>
      </c>
      <c r="B10" s="19"/>
      <c r="C10" s="19"/>
      <c r="D10" s="19"/>
      <c r="E10" s="19"/>
      <c r="F10" s="19"/>
      <c r="G10" s="19"/>
      <c r="H10" s="19"/>
    </row>
    <row r="11" customFormat="false" ht="31.5" hidden="false" customHeight="true" outlineLevel="0" collapsed="false">
      <c r="A11" s="19" t="s">
        <v>77</v>
      </c>
      <c r="B11" s="19"/>
      <c r="C11" s="19"/>
      <c r="D11" s="19"/>
      <c r="E11" s="19"/>
      <c r="F11" s="19"/>
      <c r="G11" s="19"/>
      <c r="H11" s="19"/>
    </row>
    <row r="12" customFormat="false" ht="13.5" hidden="false" customHeight="true" outlineLevel="0" collapsed="false">
      <c r="A12" s="19"/>
      <c r="B12" s="19"/>
      <c r="C12" s="19"/>
      <c r="D12" s="19"/>
      <c r="E12" s="19"/>
      <c r="F12" s="19"/>
      <c r="G12" s="19"/>
      <c r="H12" s="19"/>
    </row>
    <row r="13" customFormat="false" ht="15.75" hidden="false" customHeight="true" outlineLevel="0" collapsed="false">
      <c r="A13" s="26" t="s">
        <v>78</v>
      </c>
      <c r="B13" s="26"/>
      <c r="C13" s="26"/>
      <c r="D13" s="26"/>
      <c r="E13" s="26"/>
      <c r="F13" s="26"/>
      <c r="G13" s="26"/>
      <c r="H13" s="26"/>
    </row>
    <row r="14" customFormat="false" ht="31.5" hidden="false" customHeight="true" outlineLevel="0" collapsed="false">
      <c r="A14" s="19" t="s">
        <v>79</v>
      </c>
      <c r="B14" s="19"/>
      <c r="C14" s="19"/>
      <c r="D14" s="19"/>
      <c r="E14" s="19"/>
      <c r="F14" s="19"/>
      <c r="G14" s="19"/>
      <c r="H14" s="19"/>
    </row>
    <row r="15" customFormat="false" ht="13.5" hidden="false" customHeight="true" outlineLevel="0" collapsed="false">
      <c r="A15" s="19"/>
      <c r="B15" s="19"/>
      <c r="C15" s="19"/>
      <c r="D15" s="19"/>
      <c r="E15" s="19"/>
      <c r="F15" s="19"/>
      <c r="G15" s="19"/>
      <c r="H15" s="19"/>
    </row>
    <row r="16" customFormat="false" ht="15.75" hidden="false" customHeight="true" outlineLevel="0" collapsed="false">
      <c r="A16" s="26" t="s">
        <v>80</v>
      </c>
      <c r="B16" s="26"/>
      <c r="C16" s="26"/>
      <c r="D16" s="26"/>
      <c r="E16" s="26"/>
      <c r="F16" s="26"/>
      <c r="G16" s="26"/>
      <c r="H16" s="26"/>
    </row>
    <row r="17" customFormat="false" ht="15.75" hidden="false" customHeight="true" outlineLevel="0" collapsed="false">
      <c r="A17" s="19" t="s">
        <v>81</v>
      </c>
      <c r="B17" s="19"/>
      <c r="C17" s="19"/>
      <c r="D17" s="19"/>
      <c r="E17" s="19"/>
      <c r="F17" s="19"/>
      <c r="G17" s="19"/>
      <c r="H17" s="19"/>
    </row>
    <row r="18" customFormat="false" ht="31.5" hidden="false" customHeight="true" outlineLevel="0" collapsed="false">
      <c r="A18" s="19" t="s">
        <v>82</v>
      </c>
      <c r="B18" s="19"/>
      <c r="C18" s="19"/>
      <c r="D18" s="19"/>
      <c r="E18" s="19"/>
      <c r="F18" s="19"/>
      <c r="G18" s="19"/>
      <c r="H18" s="19"/>
    </row>
    <row r="19" customFormat="false" ht="13.5" hidden="false" customHeight="true" outlineLevel="0" collapsed="false">
      <c r="A19" s="19"/>
      <c r="B19" s="19"/>
      <c r="C19" s="19"/>
      <c r="D19" s="19"/>
      <c r="E19" s="19"/>
      <c r="F19" s="19"/>
      <c r="G19" s="19"/>
      <c r="H19" s="19"/>
    </row>
    <row r="20" customFormat="false" ht="31.5" hidden="false" customHeight="true" outlineLevel="0" collapsed="false">
      <c r="A20" s="26" t="s">
        <v>83</v>
      </c>
      <c r="B20" s="26"/>
      <c r="C20" s="26"/>
      <c r="D20" s="26"/>
      <c r="E20" s="26"/>
      <c r="F20" s="26"/>
      <c r="G20" s="26"/>
      <c r="H20" s="26"/>
    </row>
    <row r="21" customFormat="false" ht="13.5" hidden="false" customHeight="true" outlineLevel="0" collapsed="false">
      <c r="A21" s="19"/>
      <c r="B21" s="19"/>
      <c r="C21" s="19"/>
      <c r="D21" s="19"/>
      <c r="E21" s="19"/>
      <c r="F21" s="19"/>
      <c r="G21" s="19"/>
      <c r="H21" s="19"/>
    </row>
    <row r="22" customFormat="false" ht="31.5" hidden="false" customHeight="true" outlineLevel="0" collapsed="false">
      <c r="A22" s="19" t="s">
        <v>84</v>
      </c>
      <c r="B22" s="19"/>
      <c r="C22" s="19"/>
      <c r="D22" s="19"/>
      <c r="E22" s="19"/>
      <c r="F22" s="19"/>
      <c r="G22" s="19"/>
      <c r="H22" s="19"/>
    </row>
  </sheetData>
  <mergeCells count="20">
    <mergeCell ref="A3:H3"/>
    <mergeCell ref="A4:H4"/>
    <mergeCell ref="A5:H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 ref="A21:H21"/>
    <mergeCell ref="A22: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1"/>
    <col collapsed="false" customWidth="true" hidden="false" outlineLevel="0" max="18" min="3" style="1" width="8.5"/>
  </cols>
  <sheetData>
    <row r="1" customFormat="false" ht="17.25" hidden="false" customHeight="true" outlineLevel="0" collapsed="false">
      <c r="A1" s="20" t="s">
        <v>85</v>
      </c>
    </row>
    <row r="2" customFormat="false" ht="15" hidden="false" customHeight="true" outlineLevel="0" collapsed="false">
      <c r="A2" s="3" t="s">
        <v>86</v>
      </c>
    </row>
    <row r="4" customFormat="false" ht="25.5" hidden="false" customHeight="true" outlineLevel="0" collapsed="false">
      <c r="A4" s="27" t="s">
        <v>87</v>
      </c>
      <c r="B4" s="28" t="s">
        <v>88</v>
      </c>
      <c r="C4" s="29" t="s">
        <v>89</v>
      </c>
      <c r="D4" s="29" t="s">
        <v>90</v>
      </c>
      <c r="E4" s="29" t="s">
        <v>91</v>
      </c>
      <c r="F4" s="29" t="s">
        <v>92</v>
      </c>
      <c r="G4" s="29" t="s">
        <v>93</v>
      </c>
      <c r="H4" s="29" t="s">
        <v>94</v>
      </c>
      <c r="I4" s="29" t="s">
        <v>95</v>
      </c>
      <c r="J4" s="29" t="s">
        <v>96</v>
      </c>
      <c r="K4" s="29" t="s">
        <v>97</v>
      </c>
      <c r="L4" s="29" t="s">
        <v>98</v>
      </c>
      <c r="M4" s="29" t="s">
        <v>99</v>
      </c>
      <c r="N4" s="29" t="s">
        <v>100</v>
      </c>
      <c r="O4" s="29" t="s">
        <v>101</v>
      </c>
      <c r="P4" s="30" t="s">
        <v>102</v>
      </c>
      <c r="Q4" s="30" t="s">
        <v>103</v>
      </c>
      <c r="R4" s="30" t="s">
        <v>104</v>
      </c>
    </row>
    <row r="5" customFormat="false" ht="15" hidden="false" customHeight="true" outlineLevel="0" collapsed="false">
      <c r="A5" s="31" t="s">
        <v>105</v>
      </c>
      <c r="B5" s="32" t="n">
        <v>11903.4</v>
      </c>
      <c r="C5" s="33"/>
      <c r="D5" s="33"/>
      <c r="E5" s="33"/>
      <c r="F5" s="33"/>
      <c r="G5" s="33"/>
      <c r="H5" s="33"/>
      <c r="I5" s="33"/>
      <c r="J5" s="33"/>
      <c r="K5" s="33"/>
      <c r="L5" s="33"/>
      <c r="M5" s="33"/>
      <c r="N5" s="33"/>
      <c r="O5" s="33"/>
      <c r="P5" s="34"/>
      <c r="Q5" s="34"/>
      <c r="R5" s="34"/>
    </row>
    <row r="6" customFormat="false" ht="15" hidden="false" customHeight="true" outlineLevel="0" collapsed="false">
      <c r="A6" s="31" t="s">
        <v>106</v>
      </c>
      <c r="B6" s="32" t="n">
        <v>12010.8</v>
      </c>
      <c r="C6" s="33"/>
      <c r="D6" s="33"/>
      <c r="E6" s="33"/>
      <c r="F6" s="33"/>
      <c r="G6" s="33"/>
      <c r="H6" s="33"/>
      <c r="I6" s="33"/>
      <c r="J6" s="33"/>
      <c r="K6" s="33"/>
      <c r="L6" s="33"/>
      <c r="M6" s="33"/>
      <c r="N6" s="33"/>
      <c r="O6" s="33"/>
      <c r="P6" s="34"/>
      <c r="Q6" s="34"/>
      <c r="R6" s="34"/>
    </row>
    <row r="7" customFormat="false" ht="15" hidden="false" customHeight="true" outlineLevel="0" collapsed="false">
      <c r="A7" s="31" t="s">
        <v>23</v>
      </c>
      <c r="B7" s="32" t="n">
        <v>12453.4</v>
      </c>
      <c r="C7" s="33"/>
      <c r="D7" s="33"/>
      <c r="E7" s="33"/>
      <c r="F7" s="33"/>
      <c r="G7" s="33"/>
      <c r="H7" s="33"/>
      <c r="I7" s="33"/>
      <c r="J7" s="33"/>
      <c r="K7" s="33"/>
      <c r="L7" s="33"/>
      <c r="M7" s="33"/>
      <c r="N7" s="33"/>
      <c r="O7" s="33"/>
      <c r="P7" s="34"/>
      <c r="Q7" s="34"/>
      <c r="R7" s="34"/>
    </row>
    <row r="8" customFormat="false" ht="15" hidden="false" customHeight="true" outlineLevel="0" collapsed="false">
      <c r="A8" s="31" t="s">
        <v>24</v>
      </c>
      <c r="B8" s="32" t="n">
        <v>12774.4</v>
      </c>
      <c r="C8" s="33"/>
      <c r="D8" s="33" t="n">
        <v>12825</v>
      </c>
      <c r="E8" s="33"/>
      <c r="F8" s="33"/>
      <c r="G8" s="33"/>
      <c r="H8" s="33"/>
      <c r="I8" s="33"/>
      <c r="J8" s="33"/>
      <c r="K8" s="33"/>
      <c r="L8" s="33"/>
      <c r="M8" s="33"/>
      <c r="N8" s="33"/>
      <c r="O8" s="33"/>
      <c r="P8" s="34"/>
      <c r="Q8" s="34"/>
      <c r="R8" s="34"/>
    </row>
    <row r="9" customFormat="false" ht="15" hidden="false" customHeight="true" outlineLevel="0" collapsed="false">
      <c r="A9" s="31" t="s">
        <v>25</v>
      </c>
      <c r="B9" s="32" t="n">
        <v>13159.9</v>
      </c>
      <c r="C9" s="33" t="n">
        <v>13060</v>
      </c>
      <c r="D9" s="33" t="n">
        <v>13138</v>
      </c>
      <c r="E9" s="33"/>
      <c r="F9" s="33"/>
      <c r="G9" s="33"/>
      <c r="H9" s="33"/>
      <c r="I9" s="33"/>
      <c r="J9" s="33"/>
      <c r="K9" s="33"/>
      <c r="L9" s="33"/>
      <c r="M9" s="33"/>
      <c r="N9" s="33"/>
      <c r="O9" s="33"/>
      <c r="P9" s="34"/>
      <c r="Q9" s="34"/>
      <c r="R9" s="34"/>
    </row>
    <row r="10" customFormat="false" ht="15" hidden="false" customHeight="true" outlineLevel="0" collapsed="false">
      <c r="A10" s="31" t="s">
        <v>26</v>
      </c>
      <c r="B10" s="32" t="n">
        <v>13328</v>
      </c>
      <c r="C10" s="33" t="n">
        <v>13389</v>
      </c>
      <c r="D10" s="33" t="n">
        <v>13477</v>
      </c>
      <c r="E10" s="33" t="n">
        <v>13467</v>
      </c>
      <c r="F10" s="33"/>
      <c r="G10" s="33"/>
      <c r="H10" s="33"/>
      <c r="I10" s="33"/>
      <c r="J10" s="33"/>
      <c r="K10" s="33"/>
      <c r="L10" s="33"/>
      <c r="M10" s="33"/>
      <c r="N10" s="33"/>
      <c r="O10" s="33"/>
      <c r="P10" s="34"/>
      <c r="Q10" s="34"/>
      <c r="R10" s="34"/>
    </row>
    <row r="11" customFormat="false" ht="15" hidden="false" customHeight="true" outlineLevel="0" collapsed="false">
      <c r="A11" s="31" t="s">
        <v>27</v>
      </c>
      <c r="B11" s="32" t="n">
        <v>13671.2</v>
      </c>
      <c r="C11" s="33" t="n">
        <v>13704</v>
      </c>
      <c r="D11" s="33" t="n">
        <v>13819</v>
      </c>
      <c r="E11" s="33" t="n">
        <v>13834</v>
      </c>
      <c r="F11" s="33" t="n">
        <v>13668</v>
      </c>
      <c r="G11" s="33"/>
      <c r="H11" s="33"/>
      <c r="I11" s="33"/>
      <c r="J11" s="33"/>
      <c r="K11" s="33"/>
      <c r="L11" s="33"/>
      <c r="M11" s="33"/>
      <c r="N11" s="33"/>
      <c r="O11" s="33"/>
      <c r="P11" s="35" t="n">
        <v>13445</v>
      </c>
      <c r="Q11" s="34"/>
      <c r="R11" s="34"/>
    </row>
    <row r="12" customFormat="false" ht="15" hidden="false" customHeight="true" outlineLevel="0" collapsed="false">
      <c r="A12" s="31" t="s">
        <v>28</v>
      </c>
      <c r="B12" s="32" t="n">
        <v>13981.6</v>
      </c>
      <c r="C12" s="33" t="n">
        <v>14016</v>
      </c>
      <c r="D12" s="33" t="n">
        <v>14139</v>
      </c>
      <c r="E12" s="33" t="n">
        <v>14154</v>
      </c>
      <c r="F12" s="33" t="n">
        <v>13937</v>
      </c>
      <c r="G12" s="33" t="n">
        <v>13906</v>
      </c>
      <c r="H12" s="33"/>
      <c r="I12" s="33"/>
      <c r="J12" s="33"/>
      <c r="K12" s="33"/>
      <c r="L12" s="33"/>
      <c r="M12" s="33"/>
      <c r="N12" s="33"/>
      <c r="O12" s="33"/>
      <c r="P12" s="35" t="n">
        <v>13841</v>
      </c>
      <c r="Q12" s="34"/>
      <c r="R12" s="34"/>
    </row>
    <row r="13" customFormat="false" ht="15" hidden="false" customHeight="true" outlineLevel="0" collapsed="false">
      <c r="A13" s="31" t="s">
        <v>29</v>
      </c>
      <c r="B13" s="32" t="n">
        <v>14197.5</v>
      </c>
      <c r="C13" s="33" t="n">
        <v>14288</v>
      </c>
      <c r="D13" s="33"/>
      <c r="E13" s="33" t="n">
        <v>14474</v>
      </c>
      <c r="F13" s="33" t="n">
        <v>14175</v>
      </c>
      <c r="G13" s="33" t="n">
        <v>14097</v>
      </c>
      <c r="H13" s="33" t="n">
        <v>14194</v>
      </c>
      <c r="I13" s="33"/>
      <c r="J13" s="33"/>
      <c r="K13" s="33"/>
      <c r="L13" s="33"/>
      <c r="M13" s="33"/>
      <c r="N13" s="33"/>
      <c r="O13" s="33"/>
      <c r="P13" s="35" t="n">
        <v>14186</v>
      </c>
      <c r="Q13" s="35" t="n">
        <v>13941</v>
      </c>
      <c r="R13" s="34"/>
    </row>
    <row r="14" customFormat="false" ht="15" hidden="false" customHeight="true" outlineLevel="0" collapsed="false">
      <c r="A14" s="31" t="s">
        <v>30</v>
      </c>
      <c r="B14" s="32" t="n">
        <v>14285</v>
      </c>
      <c r="C14" s="33"/>
      <c r="D14" s="33"/>
      <c r="E14" s="33" t="n">
        <v>14764</v>
      </c>
      <c r="F14" s="33" t="n">
        <v>14375</v>
      </c>
      <c r="G14" s="33" t="n">
        <v>14287</v>
      </c>
      <c r="H14" s="33" t="n">
        <v>14435</v>
      </c>
      <c r="I14" s="33" t="n">
        <v>14469</v>
      </c>
      <c r="J14" s="33"/>
      <c r="K14" s="33"/>
      <c r="L14" s="33"/>
      <c r="M14" s="33"/>
      <c r="N14" s="33"/>
      <c r="O14" s="33"/>
      <c r="P14" s="35" t="n">
        <v>14546</v>
      </c>
      <c r="Q14" s="35" t="n">
        <v>14261</v>
      </c>
      <c r="R14" s="34"/>
    </row>
    <row r="15" customFormat="false" ht="15" hidden="false" customHeight="true" outlineLevel="0" collapsed="false">
      <c r="A15" s="31" t="s">
        <v>31</v>
      </c>
      <c r="B15" s="32" t="n">
        <v>14571.6</v>
      </c>
      <c r="C15" s="33"/>
      <c r="D15" s="33"/>
      <c r="E15" s="33"/>
      <c r="F15" s="33" t="n">
        <v>14581</v>
      </c>
      <c r="G15" s="33" t="n">
        <v>14430</v>
      </c>
      <c r="H15" s="33" t="n">
        <v>14624</v>
      </c>
      <c r="I15" s="33" t="n">
        <v>14606</v>
      </c>
      <c r="J15" s="33" t="n">
        <v>14511</v>
      </c>
      <c r="K15" s="33"/>
      <c r="L15" s="33"/>
      <c r="M15" s="33"/>
      <c r="N15" s="33"/>
      <c r="O15" s="33"/>
      <c r="P15" s="35" t="n">
        <v>14852</v>
      </c>
      <c r="Q15" s="35" t="n">
        <v>14561</v>
      </c>
      <c r="R15" s="34"/>
    </row>
    <row r="16" customFormat="false" ht="15" hidden="false" customHeight="true" outlineLevel="0" collapsed="false">
      <c r="A16" s="31" t="s">
        <v>32</v>
      </c>
      <c r="B16" s="32" t="n">
        <v>14283.8</v>
      </c>
      <c r="C16" s="33"/>
      <c r="D16" s="33"/>
      <c r="E16" s="33"/>
      <c r="F16" s="33"/>
      <c r="G16" s="33" t="n">
        <v>14629</v>
      </c>
      <c r="H16" s="33" t="n">
        <v>14773</v>
      </c>
      <c r="I16" s="33" t="n">
        <v>14781</v>
      </c>
      <c r="J16" s="33" t="n">
        <v>14683</v>
      </c>
      <c r="K16" s="33" t="n">
        <v>14686</v>
      </c>
      <c r="L16" s="33"/>
      <c r="M16" s="33"/>
      <c r="N16" s="33"/>
      <c r="O16" s="33"/>
      <c r="P16" s="35" t="n">
        <v>15222</v>
      </c>
      <c r="Q16" s="35" t="n">
        <v>14818</v>
      </c>
      <c r="R16" s="34"/>
    </row>
    <row r="17" customFormat="false" ht="15" hidden="false" customHeight="true" outlineLevel="0" collapsed="false">
      <c r="A17" s="31" t="s">
        <v>33</v>
      </c>
      <c r="B17" s="32" t="n">
        <v>14395</v>
      </c>
      <c r="C17" s="33"/>
      <c r="D17" s="33"/>
      <c r="E17" s="33"/>
      <c r="F17" s="33"/>
      <c r="G17" s="33"/>
      <c r="H17" s="33" t="n">
        <v>14957</v>
      </c>
      <c r="I17" s="33" t="n">
        <v>14894</v>
      </c>
      <c r="J17" s="33" t="n">
        <v>14862</v>
      </c>
      <c r="K17" s="33" t="n">
        <v>14815</v>
      </c>
      <c r="L17" s="33"/>
      <c r="M17" s="33"/>
      <c r="N17" s="33"/>
      <c r="O17" s="33"/>
      <c r="P17" s="35" t="n">
        <v>15547</v>
      </c>
      <c r="Q17" s="35" t="n">
        <v>15092</v>
      </c>
      <c r="R17" s="34"/>
    </row>
    <row r="18" customFormat="false" ht="15" hidden="false" customHeight="true" outlineLevel="0" collapsed="false">
      <c r="A18" s="31" t="s">
        <v>34</v>
      </c>
      <c r="B18" s="32" t="n">
        <v>14439.8</v>
      </c>
      <c r="C18" s="33"/>
      <c r="D18" s="33"/>
      <c r="E18" s="33"/>
      <c r="F18" s="33"/>
      <c r="G18" s="33"/>
      <c r="H18" s="33"/>
      <c r="I18" s="33" t="n">
        <v>15006</v>
      </c>
      <c r="J18" s="33" t="n">
        <v>14965</v>
      </c>
      <c r="K18" s="33" t="n">
        <v>14859</v>
      </c>
      <c r="L18" s="33" t="n">
        <v>14352</v>
      </c>
      <c r="M18" s="33"/>
      <c r="N18" s="33"/>
      <c r="O18" s="33"/>
      <c r="P18" s="35" t="n">
        <v>15803</v>
      </c>
      <c r="Q18" s="35" t="n">
        <v>15260</v>
      </c>
      <c r="R18" s="34"/>
    </row>
    <row r="19" customFormat="false" ht="15" hidden="false" customHeight="true" outlineLevel="0" collapsed="false">
      <c r="A19" s="31" t="s">
        <v>35</v>
      </c>
      <c r="B19" s="32" t="n">
        <v>14378.7</v>
      </c>
      <c r="C19" s="33"/>
      <c r="D19" s="33"/>
      <c r="E19" s="33"/>
      <c r="F19" s="33"/>
      <c r="G19" s="33"/>
      <c r="H19" s="33"/>
      <c r="I19" s="33"/>
      <c r="J19" s="33" t="n">
        <v>15109</v>
      </c>
      <c r="K19" s="33" t="n">
        <v>14942</v>
      </c>
      <c r="L19" s="33" t="n">
        <v>14429</v>
      </c>
      <c r="M19" s="33"/>
      <c r="N19" s="33"/>
      <c r="O19" s="33"/>
      <c r="P19" s="35" t="n">
        <v>16103</v>
      </c>
      <c r="Q19" s="35" t="n">
        <v>15495</v>
      </c>
      <c r="R19" s="34"/>
    </row>
    <row r="20" customFormat="false" ht="15" hidden="false" customHeight="true" outlineLevel="0" collapsed="false">
      <c r="A20" s="31" t="s">
        <v>36</v>
      </c>
      <c r="B20" s="32" t="n">
        <v>14550.6</v>
      </c>
      <c r="C20" s="33"/>
      <c r="D20" s="33"/>
      <c r="E20" s="33"/>
      <c r="F20" s="33"/>
      <c r="G20" s="33"/>
      <c r="H20" s="33"/>
      <c r="I20" s="33"/>
      <c r="J20" s="33"/>
      <c r="K20" s="33" t="n">
        <v>14945</v>
      </c>
      <c r="L20" s="33" t="n">
        <v>14404</v>
      </c>
      <c r="M20" s="33" t="n">
        <v>14270</v>
      </c>
      <c r="N20" s="33"/>
      <c r="O20" s="33"/>
      <c r="P20" s="35" t="n">
        <v>16317</v>
      </c>
      <c r="Q20" s="35" t="n">
        <v>15671</v>
      </c>
      <c r="R20" s="35" t="n">
        <v>14415</v>
      </c>
    </row>
    <row r="21" customFormat="false" ht="15" hidden="false" customHeight="true" outlineLevel="0" collapsed="false">
      <c r="A21" s="31" t="s">
        <v>37</v>
      </c>
      <c r="B21" s="32" t="n">
        <v>14369.6</v>
      </c>
      <c r="C21" s="33"/>
      <c r="D21" s="33"/>
      <c r="E21" s="33"/>
      <c r="F21" s="33"/>
      <c r="G21" s="33"/>
      <c r="H21" s="33"/>
      <c r="I21" s="33"/>
      <c r="J21" s="33"/>
      <c r="K21" s="33"/>
      <c r="L21" s="33" t="n">
        <v>14310</v>
      </c>
      <c r="M21" s="33" t="n">
        <v>14219</v>
      </c>
      <c r="N21" s="33" t="n">
        <v>14453</v>
      </c>
      <c r="O21" s="33"/>
      <c r="P21" s="34"/>
      <c r="Q21" s="35" t="n">
        <v>15814</v>
      </c>
      <c r="R21" s="35" t="n">
        <v>14367</v>
      </c>
    </row>
    <row r="22" customFormat="false" ht="15" hidden="false" customHeight="true" outlineLevel="0" collapsed="false">
      <c r="A22" s="31" t="s">
        <v>38</v>
      </c>
      <c r="B22" s="32"/>
      <c r="C22" s="33"/>
      <c r="D22" s="33"/>
      <c r="E22" s="33"/>
      <c r="F22" s="33"/>
      <c r="G22" s="33"/>
      <c r="H22" s="33"/>
      <c r="I22" s="33"/>
      <c r="J22" s="33"/>
      <c r="K22" s="33"/>
      <c r="L22" s="33" t="n">
        <v>14215</v>
      </c>
      <c r="M22" s="33" t="n">
        <v>14134</v>
      </c>
      <c r="N22" s="33" t="n">
        <v>14410</v>
      </c>
      <c r="O22" s="33" t="n">
        <v>14226</v>
      </c>
      <c r="P22" s="34"/>
      <c r="Q22" s="35" t="n">
        <v>15879</v>
      </c>
      <c r="R22" s="35" t="n">
        <v>14339</v>
      </c>
    </row>
    <row r="23" customFormat="false" ht="15" hidden="false" customHeight="true" outlineLevel="0" collapsed="false">
      <c r="A23" s="31" t="s">
        <v>39</v>
      </c>
      <c r="B23" s="32"/>
      <c r="C23" s="33"/>
      <c r="D23" s="33"/>
      <c r="E23" s="33"/>
      <c r="F23" s="33"/>
      <c r="G23" s="33"/>
      <c r="H23" s="33"/>
      <c r="I23" s="33"/>
      <c r="J23" s="33"/>
      <c r="K23" s="33"/>
      <c r="L23" s="33"/>
      <c r="M23" s="33" t="n">
        <v>14090</v>
      </c>
      <c r="N23" s="33" t="n">
        <v>14411</v>
      </c>
      <c r="O23" s="33" t="n">
        <v>14144</v>
      </c>
      <c r="P23" s="34"/>
      <c r="Q23" s="34"/>
      <c r="R23" s="35" t="n">
        <v>14346</v>
      </c>
    </row>
    <row r="24" customFormat="false" ht="15" hidden="false" customHeight="true" outlineLevel="0" collapsed="false">
      <c r="A24" s="31" t="s">
        <v>40</v>
      </c>
      <c r="B24" s="32"/>
      <c r="C24" s="33"/>
      <c r="D24" s="33"/>
      <c r="E24" s="33"/>
      <c r="F24" s="33"/>
      <c r="G24" s="33"/>
      <c r="H24" s="33"/>
      <c r="I24" s="33"/>
      <c r="J24" s="33"/>
      <c r="K24" s="33"/>
      <c r="L24" s="33"/>
      <c r="M24" s="33" t="n">
        <v>13899</v>
      </c>
      <c r="N24" s="33" t="n">
        <v>14259</v>
      </c>
      <c r="O24" s="33" t="n">
        <v>13980</v>
      </c>
      <c r="P24" s="34"/>
      <c r="Q24" s="34"/>
      <c r="R24" s="35" t="n">
        <v>14228</v>
      </c>
    </row>
    <row r="25" customFormat="false" ht="15" hidden="false" customHeight="true" outlineLevel="0" collapsed="false">
      <c r="A25" s="31" t="s">
        <v>41</v>
      </c>
      <c r="B25" s="32"/>
      <c r="C25" s="33"/>
      <c r="D25" s="33"/>
      <c r="E25" s="33"/>
      <c r="F25" s="33"/>
      <c r="G25" s="33"/>
      <c r="H25" s="33"/>
      <c r="I25" s="33"/>
      <c r="J25" s="33"/>
      <c r="K25" s="33"/>
      <c r="L25" s="33"/>
      <c r="M25" s="33"/>
      <c r="N25" s="33" t="n">
        <v>14116</v>
      </c>
      <c r="O25" s="33" t="n">
        <v>13835</v>
      </c>
      <c r="P25" s="34"/>
      <c r="Q25" s="34"/>
      <c r="R25" s="35" t="n">
        <v>14135</v>
      </c>
    </row>
    <row r="26" customFormat="false" ht="15" hidden="false" customHeight="true" outlineLevel="0" collapsed="false">
      <c r="A26" s="31" t="s">
        <v>42</v>
      </c>
      <c r="B26" s="32"/>
      <c r="C26" s="33"/>
      <c r="D26" s="33"/>
      <c r="E26" s="33"/>
      <c r="F26" s="33"/>
      <c r="G26" s="33"/>
      <c r="H26" s="33"/>
      <c r="I26" s="33"/>
      <c r="J26" s="33"/>
      <c r="K26" s="33"/>
      <c r="L26" s="33"/>
      <c r="M26" s="33"/>
      <c r="N26" s="33"/>
      <c r="O26" s="33" t="n">
        <v>13720</v>
      </c>
      <c r="P26" s="34"/>
      <c r="Q26" s="34"/>
      <c r="R26" s="35" t="n">
        <v>13609</v>
      </c>
    </row>
    <row r="28" customFormat="false" ht="42" hidden="false" customHeight="true" outlineLevel="0" collapsed="false">
      <c r="A28" s="19" t="s">
        <v>107</v>
      </c>
      <c r="B28" s="19"/>
      <c r="C28" s="19"/>
      <c r="D28" s="19"/>
      <c r="E28" s="19"/>
      <c r="F28" s="19"/>
      <c r="G28" s="19"/>
      <c r="H28" s="19"/>
      <c r="I28" s="19"/>
      <c r="J28" s="19"/>
      <c r="K28" s="19"/>
      <c r="L28" s="19"/>
      <c r="M28" s="19"/>
      <c r="N28" s="19"/>
    </row>
    <row r="29" customFormat="false" ht="42" hidden="false" customHeight="true" outlineLevel="0" collapsed="false">
      <c r="A29" s="19" t="s">
        <v>108</v>
      </c>
      <c r="B29" s="19"/>
      <c r="C29" s="19"/>
      <c r="D29" s="19"/>
      <c r="E29" s="19"/>
      <c r="F29" s="19"/>
      <c r="G29" s="19"/>
      <c r="H29" s="19"/>
      <c r="I29" s="19"/>
      <c r="J29" s="19"/>
      <c r="K29" s="19"/>
      <c r="L29" s="19"/>
      <c r="M29" s="19"/>
      <c r="N29" s="19"/>
    </row>
    <row r="30" customFormat="false" ht="42" hidden="false" customHeight="true" outlineLevel="0" collapsed="false">
      <c r="A30" s="19" t="s">
        <v>109</v>
      </c>
      <c r="B30" s="19"/>
      <c r="C30" s="19"/>
      <c r="D30" s="19"/>
      <c r="E30" s="19"/>
      <c r="F30" s="19"/>
      <c r="G30" s="19"/>
      <c r="H30" s="19"/>
      <c r="I30" s="19"/>
      <c r="J30" s="19"/>
      <c r="K30" s="19"/>
      <c r="L30" s="19"/>
      <c r="M30" s="19"/>
      <c r="N30" s="19"/>
    </row>
    <row r="31" customFormat="false" ht="42" hidden="false" customHeight="true" outlineLevel="0" collapsed="false">
      <c r="A31" s="19" t="s">
        <v>110</v>
      </c>
      <c r="B31" s="19"/>
      <c r="C31" s="19"/>
      <c r="D31" s="19"/>
      <c r="E31" s="19"/>
      <c r="F31" s="19"/>
      <c r="G31" s="19"/>
      <c r="H31" s="19"/>
      <c r="I31" s="19"/>
      <c r="J31" s="19"/>
      <c r="K31" s="19"/>
      <c r="L31" s="19"/>
      <c r="M31" s="19"/>
      <c r="N31" s="19"/>
    </row>
  </sheetData>
  <mergeCells count="4">
    <mergeCell ref="A28:N28"/>
    <mergeCell ref="A29:N29"/>
    <mergeCell ref="A30:N30"/>
    <mergeCell ref="A31:N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9"/>
    <col collapsed="false" customWidth="true" hidden="false" outlineLevel="0" max="3" min="3" style="1" width="15"/>
    <col collapsed="false" customWidth="true" hidden="false" outlineLevel="0" max="5" min="5" style="1" width="11"/>
    <col collapsed="false" customWidth="true" hidden="false" outlineLevel="0" max="7" min="6" style="1" width="13"/>
    <col collapsed="false" customWidth="true" hidden="false" outlineLevel="0" max="8" min="8" style="1" width="10"/>
  </cols>
  <sheetData>
    <row r="1" customFormat="false" ht="17.25" hidden="false" customHeight="true" outlineLevel="0" collapsed="false">
      <c r="A1" s="20" t="s">
        <v>111</v>
      </c>
    </row>
    <row r="2" customFormat="false" ht="15" hidden="false" customHeight="true" outlineLevel="0" collapsed="false">
      <c r="A2" s="3" t="s">
        <v>112</v>
      </c>
    </row>
    <row r="4" customFormat="false" ht="15" hidden="false" customHeight="true" outlineLevel="0" collapsed="false">
      <c r="A4" s="36" t="s">
        <v>113</v>
      </c>
      <c r="E4" s="36" t="s">
        <v>114</v>
      </c>
    </row>
    <row r="5" customFormat="false" ht="21.75" hidden="false" customHeight="true" outlineLevel="0" collapsed="false">
      <c r="A5" s="4" t="s">
        <v>115</v>
      </c>
      <c r="B5" s="4" t="s">
        <v>116</v>
      </c>
      <c r="C5" s="4" t="s">
        <v>117</v>
      </c>
      <c r="E5" s="4" t="s">
        <v>87</v>
      </c>
      <c r="F5" s="4" t="s">
        <v>118</v>
      </c>
      <c r="G5" s="4" t="s">
        <v>119</v>
      </c>
      <c r="H5" s="4" t="s">
        <v>120</v>
      </c>
    </row>
    <row r="6" customFormat="false" ht="15" hidden="false" customHeight="true" outlineLevel="0" collapsed="false">
      <c r="A6" s="37" t="n">
        <v>2001</v>
      </c>
      <c r="B6" s="33" t="n">
        <v>1372</v>
      </c>
      <c r="C6" s="37" t="s">
        <v>121</v>
      </c>
      <c r="E6" s="37" t="s">
        <v>122</v>
      </c>
      <c r="F6" s="33" t="n">
        <v>0</v>
      </c>
      <c r="G6" s="33" t="n">
        <v>11453</v>
      </c>
      <c r="H6" s="38"/>
    </row>
    <row r="7" customFormat="false" ht="15" hidden="false" customHeight="true" outlineLevel="0" collapsed="false">
      <c r="A7" s="37" t="n">
        <v>2002</v>
      </c>
      <c r="B7" s="33" t="n">
        <v>1443</v>
      </c>
      <c r="C7" s="37" t="s">
        <v>122</v>
      </c>
      <c r="E7" s="37" t="s">
        <v>123</v>
      </c>
      <c r="F7" s="33" t="n">
        <v>0</v>
      </c>
      <c r="G7" s="33" t="n">
        <v>11288</v>
      </c>
      <c r="H7" s="38"/>
    </row>
    <row r="8" customFormat="false" ht="15" hidden="false" customHeight="true" outlineLevel="0" collapsed="false">
      <c r="A8" s="37" t="n">
        <v>2003</v>
      </c>
      <c r="B8" s="33" t="n">
        <v>1514</v>
      </c>
      <c r="C8" s="37" t="s">
        <v>123</v>
      </c>
      <c r="E8" s="37" t="s">
        <v>105</v>
      </c>
      <c r="F8" s="33" t="n">
        <v>21</v>
      </c>
      <c r="G8" s="33" t="n">
        <v>11553</v>
      </c>
      <c r="H8" s="38" t="n">
        <v>0.0018177096857959</v>
      </c>
    </row>
    <row r="9" customFormat="false" ht="15" hidden="false" customHeight="true" outlineLevel="0" collapsed="false">
      <c r="A9" s="37" t="n">
        <v>2004</v>
      </c>
      <c r="B9" s="33" t="n">
        <v>1560</v>
      </c>
      <c r="C9" s="37" t="s">
        <v>105</v>
      </c>
      <c r="E9" s="37" t="s">
        <v>106</v>
      </c>
      <c r="F9" s="33" t="n">
        <v>15</v>
      </c>
      <c r="G9" s="33" t="n">
        <v>11631</v>
      </c>
      <c r="H9" s="38" t="n">
        <v>0.00128965695125097</v>
      </c>
    </row>
    <row r="10" customFormat="false" ht="15" hidden="false" customHeight="true" outlineLevel="0" collapsed="false">
      <c r="A10" s="37" t="n">
        <v>2005</v>
      </c>
      <c r="B10" s="33" t="n">
        <v>1457</v>
      </c>
      <c r="C10" s="37" t="s">
        <v>106</v>
      </c>
      <c r="E10" s="37" t="s">
        <v>23</v>
      </c>
      <c r="F10" s="33" t="n">
        <v>5</v>
      </c>
      <c r="G10" s="33" t="n">
        <v>12047</v>
      </c>
      <c r="H10" s="38" t="n">
        <v>0.000415041089067818</v>
      </c>
    </row>
    <row r="11" customFormat="false" ht="15" hidden="false" customHeight="true" outlineLevel="0" collapsed="false">
      <c r="A11" s="37" t="n">
        <v>2006</v>
      </c>
      <c r="B11" s="33" t="n">
        <v>1615</v>
      </c>
      <c r="C11" s="37" t="s">
        <v>23</v>
      </c>
      <c r="E11" s="37" t="s">
        <v>24</v>
      </c>
      <c r="F11" s="33" t="n">
        <v>179</v>
      </c>
      <c r="G11" s="33" t="n">
        <v>12357</v>
      </c>
      <c r="H11" s="38" t="n">
        <v>0.0144857165978797</v>
      </c>
    </row>
    <row r="12" customFormat="false" ht="15" hidden="false" customHeight="true" outlineLevel="0" collapsed="false">
      <c r="A12" s="37" t="n">
        <v>2007</v>
      </c>
      <c r="B12" s="33" t="n">
        <v>1650</v>
      </c>
      <c r="C12" s="37" t="s">
        <v>24</v>
      </c>
      <c r="E12" s="37" t="s">
        <v>25</v>
      </c>
      <c r="F12" s="33" t="n">
        <v>329</v>
      </c>
      <c r="G12" s="33" t="n">
        <v>12778</v>
      </c>
      <c r="H12" s="38" t="n">
        <v>0.0257473783064642</v>
      </c>
    </row>
    <row r="13" customFormat="false" ht="15" hidden="false" customHeight="true" outlineLevel="0" collapsed="false">
      <c r="A13" s="37" t="n">
        <v>2008</v>
      </c>
      <c r="B13" s="33" t="n">
        <v>1719</v>
      </c>
      <c r="C13" s="37" t="s">
        <v>25</v>
      </c>
      <c r="E13" s="37" t="s">
        <v>26</v>
      </c>
      <c r="F13" s="33" t="n">
        <v>552</v>
      </c>
      <c r="G13" s="33" t="n">
        <v>12930</v>
      </c>
      <c r="H13" s="38" t="n">
        <v>0.0426914153132251</v>
      </c>
    </row>
    <row r="14" customFormat="false" ht="15" hidden="false" customHeight="true" outlineLevel="0" collapsed="false">
      <c r="A14" s="37" t="n">
        <v>2009</v>
      </c>
      <c r="B14" s="33" t="n">
        <v>1711</v>
      </c>
      <c r="C14" s="37" t="s">
        <v>26</v>
      </c>
      <c r="E14" s="37" t="s">
        <v>27</v>
      </c>
      <c r="F14" s="33" t="n">
        <v>715</v>
      </c>
      <c r="G14" s="33" t="n">
        <v>13217</v>
      </c>
      <c r="H14" s="38" t="n">
        <v>0.0540969962926534</v>
      </c>
    </row>
    <row r="15" customFormat="false" ht="15" hidden="false" customHeight="true" outlineLevel="0" collapsed="false">
      <c r="A15" s="37" t="n">
        <v>2010</v>
      </c>
      <c r="B15" s="33" t="n">
        <v>1792</v>
      </c>
      <c r="C15" s="37" t="s">
        <v>27</v>
      </c>
      <c r="E15" s="37" t="s">
        <v>28</v>
      </c>
      <c r="F15" s="33" t="n">
        <v>836</v>
      </c>
      <c r="G15" s="33" t="n">
        <v>13516</v>
      </c>
      <c r="H15" s="38" t="n">
        <v>0.0618526191180823</v>
      </c>
    </row>
    <row r="16" customFormat="false" ht="15" hidden="false" customHeight="true" outlineLevel="0" collapsed="false">
      <c r="A16" s="37" t="n">
        <v>2011</v>
      </c>
      <c r="B16" s="33" t="n">
        <v>1733</v>
      </c>
      <c r="C16" s="37" t="s">
        <v>28</v>
      </c>
      <c r="E16" s="37" t="s">
        <v>29</v>
      </c>
      <c r="F16" s="33" t="n">
        <v>966</v>
      </c>
      <c r="G16" s="33" t="n">
        <v>13850</v>
      </c>
      <c r="H16" s="38" t="n">
        <v>0.0697472924187726</v>
      </c>
    </row>
    <row r="17" customFormat="false" ht="15" hidden="false" customHeight="true" outlineLevel="0" collapsed="false">
      <c r="A17" s="37" t="n">
        <v>2012</v>
      </c>
      <c r="B17" s="33" t="n">
        <v>1830</v>
      </c>
      <c r="C17" s="37" t="s">
        <v>29</v>
      </c>
      <c r="E17" s="37" t="s">
        <v>30</v>
      </c>
      <c r="F17" s="33" t="n">
        <v>950</v>
      </c>
      <c r="G17" s="33" t="n">
        <v>13990</v>
      </c>
      <c r="H17" s="38" t="n">
        <v>0.0679056468906362</v>
      </c>
    </row>
    <row r="18" customFormat="false" ht="15" hidden="false" customHeight="true" outlineLevel="0" collapsed="false">
      <c r="A18" s="37" t="n">
        <v>2013</v>
      </c>
      <c r="B18" s="33" t="n">
        <v>1767</v>
      </c>
      <c r="C18" s="37" t="s">
        <v>30</v>
      </c>
      <c r="E18" s="37" t="s">
        <v>31</v>
      </c>
      <c r="F18" s="33" t="n">
        <v>1149</v>
      </c>
      <c r="G18" s="33" t="n">
        <v>14276</v>
      </c>
      <c r="H18" s="38" t="n">
        <v>0.080484729616139</v>
      </c>
    </row>
    <row r="19" customFormat="false" ht="15" hidden="false" customHeight="true" outlineLevel="0" collapsed="false">
      <c r="A19" s="37" t="n">
        <v>2014</v>
      </c>
      <c r="B19" s="33" t="n">
        <v>1824</v>
      </c>
      <c r="C19" s="37" t="s">
        <v>31</v>
      </c>
      <c r="E19" s="37" t="s">
        <v>32</v>
      </c>
      <c r="F19" s="33" t="n">
        <v>1164</v>
      </c>
      <c r="G19" s="33" t="n">
        <v>13947</v>
      </c>
      <c r="H19" s="38" t="n">
        <v>0.0834588083458808</v>
      </c>
    </row>
    <row r="20" customFormat="false" ht="15" hidden="false" customHeight="true" outlineLevel="0" collapsed="false">
      <c r="A20" s="37" t="n">
        <v>2015</v>
      </c>
      <c r="B20" s="33" t="n">
        <v>1808</v>
      </c>
      <c r="C20" s="37" t="s">
        <v>32</v>
      </c>
      <c r="E20" s="37" t="s">
        <v>33</v>
      </c>
      <c r="F20" s="33" t="n">
        <v>1076</v>
      </c>
      <c r="G20" s="33" t="n">
        <v>14241</v>
      </c>
      <c r="H20" s="38" t="n">
        <v>0.0755564918193947</v>
      </c>
    </row>
    <row r="21" customFormat="false" ht="15" hidden="false" customHeight="true" outlineLevel="0" collapsed="false">
      <c r="A21" s="39" t="n">
        <v>2016</v>
      </c>
      <c r="B21" s="40" t="n">
        <v>1856</v>
      </c>
      <c r="C21" s="39" t="s">
        <v>33</v>
      </c>
      <c r="E21" s="37" t="s">
        <v>34</v>
      </c>
      <c r="F21" s="33" t="n">
        <v>1084</v>
      </c>
      <c r="G21" s="33" t="n">
        <v>14262</v>
      </c>
      <c r="H21" s="38" t="n">
        <v>0.0760061702426027</v>
      </c>
    </row>
    <row r="22" customFormat="false" ht="15" hidden="false" customHeight="true" outlineLevel="0" collapsed="false">
      <c r="A22" s="37" t="n">
        <v>2017</v>
      </c>
      <c r="B22" s="33" t="n">
        <v>1723</v>
      </c>
      <c r="C22" s="37" t="s">
        <v>34</v>
      </c>
      <c r="E22" s="37" t="s">
        <v>35</v>
      </c>
      <c r="F22" s="33" t="n">
        <v>1142</v>
      </c>
      <c r="G22" s="33" t="n">
        <v>14264</v>
      </c>
      <c r="H22" s="38" t="n">
        <v>0.0800616937745373</v>
      </c>
    </row>
    <row r="23" customFormat="false" ht="15" hidden="false" customHeight="true" outlineLevel="0" collapsed="false">
      <c r="A23" s="37" t="n">
        <v>2018</v>
      </c>
      <c r="B23" s="33" t="n">
        <v>1735</v>
      </c>
      <c r="C23" s="37" t="s">
        <v>35</v>
      </c>
      <c r="E23" s="37" t="s">
        <v>36</v>
      </c>
      <c r="F23" s="33" t="n">
        <v>1390</v>
      </c>
      <c r="G23" s="33" t="n">
        <v>14415</v>
      </c>
      <c r="H23" s="38" t="n">
        <v>0.0964273326396115</v>
      </c>
    </row>
    <row r="24" customFormat="false" ht="15" hidden="false" customHeight="true" outlineLevel="0" collapsed="false">
      <c r="A24" s="37" t="n">
        <v>2019</v>
      </c>
      <c r="B24" s="33" t="n">
        <v>1739</v>
      </c>
      <c r="C24" s="37" t="s">
        <v>36</v>
      </c>
      <c r="E24" s="37" t="s">
        <v>37</v>
      </c>
      <c r="F24" s="33" t="n">
        <v>1052</v>
      </c>
      <c r="G24" s="33" t="n">
        <v>14227</v>
      </c>
      <c r="H24" s="38" t="n">
        <v>0.0739439094679131</v>
      </c>
    </row>
    <row r="25" customFormat="false" ht="15" hidden="false" customHeight="true" outlineLevel="0" collapsed="false">
      <c r="A25" s="37" t="n">
        <v>2020</v>
      </c>
      <c r="B25" s="33" t="n">
        <v>1621</v>
      </c>
      <c r="C25" s="37" t="s">
        <v>37</v>
      </c>
    </row>
    <row r="27" customFormat="false" ht="43.5" hidden="false" customHeight="true" outlineLevel="0" collapsed="false">
      <c r="A27" s="19" t="s">
        <v>124</v>
      </c>
      <c r="B27" s="19"/>
      <c r="C27" s="19"/>
      <c r="D27" s="19"/>
      <c r="E27" s="19"/>
      <c r="F27" s="19"/>
      <c r="G27" s="19"/>
      <c r="H27" s="19"/>
    </row>
    <row r="28" customFormat="false" ht="43.5" hidden="false" customHeight="true" outlineLevel="0" collapsed="false">
      <c r="A28" s="19" t="s">
        <v>125</v>
      </c>
      <c r="B28" s="19"/>
      <c r="C28" s="19"/>
      <c r="D28" s="19"/>
      <c r="E28" s="19"/>
      <c r="F28" s="19"/>
      <c r="G28" s="19"/>
      <c r="H28" s="19"/>
    </row>
    <row r="29" customFormat="false" ht="43.5" hidden="false" customHeight="true" outlineLevel="0" collapsed="false">
      <c r="A29" s="19" t="s">
        <v>126</v>
      </c>
      <c r="B29" s="19"/>
      <c r="C29" s="19"/>
      <c r="D29" s="19"/>
      <c r="E29" s="19"/>
      <c r="F29" s="19"/>
      <c r="G29" s="19"/>
      <c r="H29" s="19"/>
    </row>
    <row r="30" customFormat="false" ht="43.5" hidden="false" customHeight="true" outlineLevel="0" collapsed="false">
      <c r="A30" s="19" t="s">
        <v>127</v>
      </c>
      <c r="B30" s="19"/>
      <c r="C30" s="19"/>
      <c r="D30" s="19"/>
      <c r="E30" s="19"/>
      <c r="F30" s="19"/>
      <c r="G30" s="19"/>
      <c r="H30" s="19"/>
    </row>
    <row r="31" customFormat="false" ht="43.5" hidden="false" customHeight="true" outlineLevel="0" collapsed="false">
      <c r="A31" s="19" t="s">
        <v>128</v>
      </c>
      <c r="B31" s="19"/>
      <c r="C31" s="19"/>
      <c r="D31" s="19"/>
      <c r="E31" s="19"/>
      <c r="F31" s="19"/>
      <c r="G31" s="19"/>
      <c r="H31" s="19"/>
    </row>
    <row r="32" customFormat="false" ht="43.5" hidden="false" customHeight="true" outlineLevel="0" collapsed="false">
      <c r="A32" s="19" t="s">
        <v>129</v>
      </c>
      <c r="B32" s="19"/>
      <c r="C32" s="19"/>
      <c r="D32" s="19"/>
      <c r="E32" s="19"/>
      <c r="F32" s="19"/>
      <c r="G32" s="19"/>
      <c r="H32" s="19"/>
    </row>
  </sheetData>
  <mergeCells count="6">
    <mergeCell ref="A27:H27"/>
    <mergeCell ref="A28:H28"/>
    <mergeCell ref="A29:H29"/>
    <mergeCell ref="A30:H30"/>
    <mergeCell ref="A31:H31"/>
    <mergeCell ref="A32:H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9"/>
    <col collapsed="false" customWidth="true" hidden="false" outlineLevel="0" max="4" min="4" style="1" width="15"/>
    <col collapsed="false" customWidth="true" hidden="false" outlineLevel="0" max="5" min="5" style="1" width="52"/>
  </cols>
  <sheetData>
    <row r="1" customFormat="false" ht="17.25" hidden="false" customHeight="true" outlineLevel="0" collapsed="false">
      <c r="A1" s="20" t="s">
        <v>130</v>
      </c>
    </row>
    <row r="2" customFormat="false" ht="15" hidden="false" customHeight="true" outlineLevel="0" collapsed="false">
      <c r="A2" s="3" t="s">
        <v>131</v>
      </c>
    </row>
    <row r="4" customFormat="false" ht="15" hidden="false" customHeight="true" outlineLevel="0" collapsed="false">
      <c r="A4" s="21" t="s">
        <v>132</v>
      </c>
      <c r="B4" s="21" t="s">
        <v>133</v>
      </c>
      <c r="C4" s="21" t="s">
        <v>134</v>
      </c>
      <c r="D4" s="21" t="s">
        <v>135</v>
      </c>
      <c r="E4" s="21" t="s">
        <v>57</v>
      </c>
    </row>
    <row r="5" customFormat="false" ht="15" hidden="false" customHeight="true" outlineLevel="0" collapsed="false">
      <c r="A5" s="41" t="s">
        <v>136</v>
      </c>
      <c r="B5" s="42" t="s">
        <v>137</v>
      </c>
      <c r="C5" s="41" t="s">
        <v>138</v>
      </c>
      <c r="D5" s="41" t="s">
        <v>139</v>
      </c>
      <c r="E5" s="42" t="s">
        <v>140</v>
      </c>
    </row>
    <row r="6" customFormat="false" ht="15" hidden="false" customHeight="true" outlineLevel="0" collapsed="false">
      <c r="A6" s="43" t="s">
        <v>141</v>
      </c>
      <c r="B6" s="44" t="s">
        <v>142</v>
      </c>
      <c r="C6" s="43" t="s">
        <v>143</v>
      </c>
      <c r="D6" s="43" t="s">
        <v>144</v>
      </c>
      <c r="E6" s="44" t="s">
        <v>145</v>
      </c>
    </row>
    <row r="7" customFormat="false" ht="15" hidden="false" customHeight="true" outlineLevel="0" collapsed="false">
      <c r="A7" s="41" t="s">
        <v>146</v>
      </c>
      <c r="B7" s="42" t="s">
        <v>147</v>
      </c>
      <c r="C7" s="41" t="s">
        <v>138</v>
      </c>
      <c r="D7" s="41" t="s">
        <v>148</v>
      </c>
      <c r="E7" s="42" t="s">
        <v>149</v>
      </c>
    </row>
    <row r="8" customFormat="false" ht="15" hidden="false" customHeight="true" outlineLevel="0" collapsed="false">
      <c r="A8" s="41" t="s">
        <v>150</v>
      </c>
      <c r="B8" s="42" t="s">
        <v>151</v>
      </c>
      <c r="C8" s="41" t="s">
        <v>138</v>
      </c>
      <c r="D8" s="41" t="s">
        <v>152</v>
      </c>
      <c r="E8" s="42" t="s">
        <v>153</v>
      </c>
    </row>
    <row r="9" customFormat="false" ht="15" hidden="false" customHeight="true" outlineLevel="0" collapsed="false">
      <c r="A9" s="43" t="s">
        <v>154</v>
      </c>
      <c r="B9" s="45" t="s">
        <v>155</v>
      </c>
      <c r="C9" s="43" t="s">
        <v>156</v>
      </c>
      <c r="D9" s="39" t="s">
        <v>157</v>
      </c>
      <c r="E9" s="44" t="s">
        <v>158</v>
      </c>
    </row>
    <row r="10" customFormat="false" ht="15" hidden="false" customHeight="true" outlineLevel="0" collapsed="false">
      <c r="A10" s="43" t="s">
        <v>159</v>
      </c>
      <c r="B10" s="45" t="s">
        <v>160</v>
      </c>
      <c r="C10" s="43" t="s">
        <v>156</v>
      </c>
      <c r="D10" s="39" t="s">
        <v>161</v>
      </c>
      <c r="E10" s="44" t="s">
        <v>162</v>
      </c>
    </row>
    <row r="11" customFormat="false" ht="15" hidden="false" customHeight="true" outlineLevel="0" collapsed="false">
      <c r="A11" s="43" t="s">
        <v>163</v>
      </c>
      <c r="B11" s="45" t="s">
        <v>164</v>
      </c>
      <c r="C11" s="43" t="s">
        <v>156</v>
      </c>
      <c r="D11" s="39" t="s">
        <v>165</v>
      </c>
      <c r="E11" s="44" t="s">
        <v>166</v>
      </c>
    </row>
    <row r="12" customFormat="false" ht="15" hidden="false" customHeight="true" outlineLevel="0" collapsed="false">
      <c r="A12" s="43" t="s">
        <v>167</v>
      </c>
      <c r="B12" s="45" t="s">
        <v>168</v>
      </c>
      <c r="C12" s="43" t="s">
        <v>156</v>
      </c>
      <c r="D12" s="39" t="s">
        <v>169</v>
      </c>
      <c r="E12" s="44" t="s">
        <v>170</v>
      </c>
    </row>
    <row r="13" customFormat="false" ht="15" hidden="false" customHeight="true" outlineLevel="0" collapsed="false">
      <c r="A13" s="46" t="s">
        <v>171</v>
      </c>
      <c r="B13" s="47" t="s">
        <v>172</v>
      </c>
      <c r="C13" s="46" t="s">
        <v>173</v>
      </c>
      <c r="D13" s="46" t="s">
        <v>174</v>
      </c>
      <c r="E13" s="47" t="s">
        <v>175</v>
      </c>
    </row>
    <row r="14" customFormat="false" ht="15" hidden="false" customHeight="true" outlineLevel="0" collapsed="false">
      <c r="A14" s="41" t="s">
        <v>176</v>
      </c>
      <c r="B14" s="42" t="s">
        <v>177</v>
      </c>
      <c r="C14" s="41" t="s">
        <v>138</v>
      </c>
      <c r="D14" s="41" t="s">
        <v>178</v>
      </c>
      <c r="E14" s="42" t="s">
        <v>179</v>
      </c>
    </row>
    <row r="15" customFormat="false" ht="15" hidden="false" customHeight="true" outlineLevel="0" collapsed="false">
      <c r="A15" s="41" t="s">
        <v>180</v>
      </c>
      <c r="B15" s="42" t="s">
        <v>181</v>
      </c>
      <c r="C15" s="41" t="s">
        <v>138</v>
      </c>
      <c r="D15" s="41" t="s">
        <v>182</v>
      </c>
      <c r="E15" s="42" t="s">
        <v>183</v>
      </c>
    </row>
    <row r="18" customFormat="false" ht="15" hidden="false" customHeight="true" outlineLevel="0" collapsed="false">
      <c r="A18" s="48" t="s">
        <v>184</v>
      </c>
    </row>
    <row r="19" customFormat="false" ht="27.75" hidden="false" customHeight="true" outlineLevel="0" collapsed="false">
      <c r="A19" s="29" t="s">
        <v>11</v>
      </c>
      <c r="B19" s="29" t="s">
        <v>185</v>
      </c>
      <c r="C19" s="29" t="s">
        <v>186</v>
      </c>
      <c r="D19" s="29" t="s">
        <v>187</v>
      </c>
    </row>
    <row r="20" customFormat="false" ht="15" hidden="false" customHeight="true" outlineLevel="0" collapsed="false">
      <c r="A20" s="49" t="s">
        <v>188</v>
      </c>
      <c r="B20" s="50" t="n">
        <v>15372</v>
      </c>
      <c r="C20" s="50" t="n">
        <v>13159.9</v>
      </c>
      <c r="D20" s="49"/>
    </row>
    <row r="21" customFormat="false" ht="15" hidden="false" customHeight="true" outlineLevel="0" collapsed="false">
      <c r="A21" s="49" t="s">
        <v>189</v>
      </c>
      <c r="B21" s="50"/>
      <c r="C21" s="50" t="n">
        <v>13328</v>
      </c>
      <c r="D21" s="49"/>
    </row>
    <row r="22" customFormat="false" ht="15" hidden="false" customHeight="true" outlineLevel="0" collapsed="false">
      <c r="A22" s="49" t="s">
        <v>190</v>
      </c>
      <c r="B22" s="50" t="n">
        <v>16317</v>
      </c>
      <c r="C22" s="50" t="n">
        <v>13671.2</v>
      </c>
      <c r="D22" s="49"/>
    </row>
    <row r="23" customFormat="false" ht="15" hidden="false" customHeight="true" outlineLevel="0" collapsed="false">
      <c r="A23" s="49" t="s">
        <v>191</v>
      </c>
      <c r="B23" s="50" t="n">
        <v>15879</v>
      </c>
      <c r="C23" s="50" t="n">
        <v>13981.6</v>
      </c>
      <c r="D23" s="49"/>
    </row>
    <row r="24" customFormat="false" ht="15" hidden="false" customHeight="true" outlineLevel="0" collapsed="false">
      <c r="A24" s="49" t="s">
        <v>192</v>
      </c>
      <c r="B24" s="50"/>
      <c r="C24" s="50" t="n">
        <v>14197.5</v>
      </c>
      <c r="D24" s="49" t="n">
        <v>16600</v>
      </c>
    </row>
    <row r="25" customFormat="false" ht="15" hidden="false" customHeight="true" outlineLevel="0" collapsed="false">
      <c r="A25" s="49" t="s">
        <v>193</v>
      </c>
      <c r="B25" s="50"/>
      <c r="C25" s="50" t="n">
        <v>14285</v>
      </c>
      <c r="D25" s="49"/>
    </row>
    <row r="26" customFormat="false" ht="15" hidden="false" customHeight="true" outlineLevel="0" collapsed="false">
      <c r="A26" s="49" t="s">
        <v>194</v>
      </c>
      <c r="B26" s="50"/>
      <c r="C26" s="50" t="n">
        <v>14571.6</v>
      </c>
      <c r="D26" s="49" t="n">
        <v>16600</v>
      </c>
    </row>
    <row r="27" customFormat="false" ht="15" hidden="false" customHeight="true" outlineLevel="0" collapsed="false">
      <c r="A27" s="49" t="s">
        <v>195</v>
      </c>
      <c r="B27" s="50"/>
      <c r="C27" s="50" t="n">
        <v>14283.8</v>
      </c>
      <c r="D27" s="49" t="n">
        <v>16600</v>
      </c>
    </row>
    <row r="28" customFormat="false" ht="15" hidden="false" customHeight="true" outlineLevel="0" collapsed="false">
      <c r="A28" s="49" t="s">
        <v>196</v>
      </c>
      <c r="B28" s="50"/>
      <c r="C28" s="50" t="n">
        <v>14395</v>
      </c>
      <c r="D28" s="49"/>
    </row>
    <row r="29" customFormat="false" ht="15" hidden="false" customHeight="true" outlineLevel="0" collapsed="false">
      <c r="A29" s="49" t="s">
        <v>197</v>
      </c>
      <c r="B29" s="50"/>
      <c r="C29" s="50" t="n">
        <v>14439.8</v>
      </c>
      <c r="D29" s="49"/>
    </row>
    <row r="30" customFormat="false" ht="15" hidden="false" customHeight="true" outlineLevel="0" collapsed="false">
      <c r="A30" s="49" t="s">
        <v>198</v>
      </c>
      <c r="B30" s="50" t="n">
        <v>15081</v>
      </c>
      <c r="C30" s="50" t="n">
        <v>14378.7</v>
      </c>
      <c r="D30" s="49"/>
    </row>
    <row r="31" customFormat="false" ht="15" hidden="false" customHeight="true" outlineLevel="0" collapsed="false">
      <c r="A31" s="49" t="s">
        <v>199</v>
      </c>
      <c r="B31" s="50"/>
      <c r="C31" s="50" t="n">
        <v>14550.6</v>
      </c>
      <c r="D31" s="49"/>
    </row>
    <row r="32" customFormat="false" ht="15" hidden="false" customHeight="true" outlineLevel="0" collapsed="false">
      <c r="A32" s="49" t="s">
        <v>200</v>
      </c>
      <c r="B32" s="50" t="n">
        <v>14415</v>
      </c>
      <c r="C32" s="50" t="n">
        <v>14369.6</v>
      </c>
      <c r="D32" s="49"/>
    </row>
    <row r="33" customFormat="false" ht="15" hidden="false" customHeight="true" outlineLevel="0" collapsed="false">
      <c r="A33" s="49" t="s">
        <v>201</v>
      </c>
      <c r="B33" s="50"/>
      <c r="C33" s="50"/>
      <c r="D33" s="49"/>
    </row>
    <row r="35" customFormat="false" ht="45.75" hidden="false" customHeight="true" outlineLevel="0" collapsed="false">
      <c r="A35" s="19" t="s">
        <v>202</v>
      </c>
      <c r="B35" s="19"/>
      <c r="C35" s="19"/>
      <c r="D35" s="19"/>
      <c r="E35" s="19"/>
    </row>
    <row r="36" customFormat="false" ht="45.75" hidden="false" customHeight="true" outlineLevel="0" collapsed="false">
      <c r="A36" s="19" t="s">
        <v>203</v>
      </c>
      <c r="B36" s="19"/>
      <c r="C36" s="19"/>
      <c r="D36" s="19"/>
      <c r="E36" s="19"/>
    </row>
    <row r="37" customFormat="false" ht="45.75" hidden="false" customHeight="true" outlineLevel="0" collapsed="false">
      <c r="A37" s="19" t="s">
        <v>204</v>
      </c>
      <c r="B37" s="19"/>
      <c r="C37" s="19"/>
      <c r="D37" s="19"/>
      <c r="E37" s="19"/>
    </row>
    <row r="38" customFormat="false" ht="45.75" hidden="false" customHeight="true" outlineLevel="0" collapsed="false">
      <c r="A38" s="19" t="s">
        <v>205</v>
      </c>
      <c r="B38" s="19"/>
      <c r="C38" s="19"/>
      <c r="D38" s="19"/>
      <c r="E38" s="19"/>
    </row>
  </sheetData>
  <mergeCells count="4">
    <mergeCell ref="A35:E35"/>
    <mergeCell ref="A36:E36"/>
    <mergeCell ref="A37:E37"/>
    <mergeCell ref="A38:E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6" min="2" style="0" width="16"/>
  </cols>
  <sheetData>
    <row r="1" customFormat="false" ht="16.15" hidden="false" customHeight="false" outlineLevel="0" collapsed="false">
      <c r="A1" s="51" t="s">
        <v>206</v>
      </c>
    </row>
    <row r="2" customFormat="false" ht="15" hidden="false" customHeight="false" outlineLevel="0" collapsed="false">
      <c r="A2" s="3" t="s">
        <v>207</v>
      </c>
    </row>
    <row r="4" customFormat="false" ht="22.35" hidden="false" customHeight="false" outlineLevel="0" collapsed="false">
      <c r="A4" s="4" t="s">
        <v>208</v>
      </c>
      <c r="B4" s="4" t="s">
        <v>209</v>
      </c>
      <c r="C4" s="4" t="s">
        <v>210</v>
      </c>
      <c r="D4" s="4" t="s">
        <v>211</v>
      </c>
      <c r="E4" s="4" t="s">
        <v>212</v>
      </c>
      <c r="F4" s="4" t="s">
        <v>213</v>
      </c>
    </row>
    <row r="5" customFormat="false" ht="15" hidden="false" customHeight="false" outlineLevel="0" collapsed="false">
      <c r="A5" s="31" t="s">
        <v>30</v>
      </c>
      <c r="B5" s="52" t="n">
        <v>14198</v>
      </c>
      <c r="C5" s="33"/>
      <c r="D5" s="33"/>
      <c r="E5" s="32" t="n">
        <v>14285.1</v>
      </c>
      <c r="F5" s="53"/>
    </row>
    <row r="6" customFormat="false" ht="15" hidden="false" customHeight="false" outlineLevel="0" collapsed="false">
      <c r="A6" s="31" t="s">
        <v>31</v>
      </c>
      <c r="B6" s="52" t="n">
        <v>14450</v>
      </c>
      <c r="C6" s="33"/>
      <c r="D6" s="33"/>
      <c r="E6" s="32" t="n">
        <v>14571.6</v>
      </c>
      <c r="F6" s="53"/>
    </row>
    <row r="7" customFormat="false" ht="15" hidden="false" customHeight="false" outlineLevel="0" collapsed="false">
      <c r="A7" s="31" t="s">
        <v>32</v>
      </c>
      <c r="B7" s="52" t="n">
        <v>14678</v>
      </c>
      <c r="C7" s="54" t="n">
        <v>14393</v>
      </c>
      <c r="D7" s="33"/>
      <c r="E7" s="32" t="n">
        <v>14283.8</v>
      </c>
      <c r="F7" s="53" t="n">
        <f aca="false">C7-E7</f>
        <v>109.200000000001</v>
      </c>
    </row>
    <row r="8" customFormat="false" ht="15" hidden="false" customHeight="false" outlineLevel="0" collapsed="false">
      <c r="A8" s="31" t="s">
        <v>33</v>
      </c>
      <c r="B8" s="52" t="n">
        <v>14870</v>
      </c>
      <c r="C8" s="54" t="n">
        <v>14511</v>
      </c>
      <c r="D8" s="55" t="n">
        <v>14870</v>
      </c>
      <c r="E8" s="32" t="n">
        <v>14395</v>
      </c>
      <c r="F8" s="53" t="n">
        <f aca="false">C8-E8</f>
        <v>116</v>
      </c>
    </row>
    <row r="9" customFormat="false" ht="15" hidden="false" customHeight="false" outlineLevel="0" collapsed="false">
      <c r="A9" s="31" t="s">
        <v>34</v>
      </c>
      <c r="B9" s="52" t="n">
        <v>15076</v>
      </c>
      <c r="C9" s="54" t="n">
        <v>14642</v>
      </c>
      <c r="D9" s="55" t="n">
        <v>15076</v>
      </c>
      <c r="E9" s="32" t="n">
        <v>14439.8</v>
      </c>
      <c r="F9" s="53" t="n">
        <f aca="false">C9-E9</f>
        <v>202.200000000001</v>
      </c>
    </row>
    <row r="10" customFormat="false" ht="15" hidden="false" customHeight="false" outlineLevel="0" collapsed="false">
      <c r="A10" s="31" t="s">
        <v>35</v>
      </c>
      <c r="B10" s="33"/>
      <c r="C10" s="54" t="n">
        <v>14826</v>
      </c>
      <c r="D10" s="55" t="n">
        <v>14826</v>
      </c>
      <c r="E10" s="32" t="n">
        <v>14378.7</v>
      </c>
      <c r="F10" s="53" t="n">
        <f aca="false">C10-E10</f>
        <v>447.299999999999</v>
      </c>
    </row>
    <row r="11" customFormat="false" ht="15" hidden="false" customHeight="false" outlineLevel="0" collapsed="false">
      <c r="A11" s="31" t="s">
        <v>36</v>
      </c>
      <c r="B11" s="33"/>
      <c r="C11" s="54" t="n">
        <v>15003</v>
      </c>
      <c r="D11" s="55" t="n">
        <v>15003</v>
      </c>
      <c r="E11" s="32" t="n">
        <v>14550.6</v>
      </c>
      <c r="F11" s="53" t="n">
        <f aca="false">C11-E11</f>
        <v>452.4</v>
      </c>
    </row>
    <row r="13" customFormat="false" ht="45.75" hidden="false" customHeight="true" outlineLevel="0" collapsed="false">
      <c r="A13" s="19" t="s">
        <v>214</v>
      </c>
      <c r="B13" s="19"/>
      <c r="C13" s="19"/>
      <c r="D13" s="19"/>
      <c r="E13" s="19"/>
      <c r="F13" s="19"/>
    </row>
    <row r="14" customFormat="false" ht="45.75" hidden="false" customHeight="true" outlineLevel="0" collapsed="false">
      <c r="A14" s="19" t="s">
        <v>215</v>
      </c>
      <c r="B14" s="19"/>
      <c r="C14" s="19"/>
      <c r="D14" s="19"/>
      <c r="E14" s="19"/>
      <c r="F14" s="19"/>
    </row>
    <row r="15" customFormat="false" ht="45.75" hidden="false" customHeight="true" outlineLevel="0" collapsed="false">
      <c r="A15" s="19" t="s">
        <v>216</v>
      </c>
      <c r="B15" s="19"/>
      <c r="C15" s="19"/>
      <c r="D15" s="19"/>
      <c r="E15" s="19"/>
      <c r="F15" s="19"/>
    </row>
    <row r="16" customFormat="false" ht="45.75" hidden="false" customHeight="true" outlineLevel="0" collapsed="false">
      <c r="A16" s="19" t="s">
        <v>217</v>
      </c>
      <c r="B16" s="19"/>
      <c r="C16" s="19"/>
      <c r="D16" s="19"/>
      <c r="E16" s="19"/>
      <c r="F16" s="19"/>
    </row>
    <row r="17" customFormat="false" ht="45.75" hidden="false" customHeight="true" outlineLevel="0" collapsed="false">
      <c r="A17" s="19" t="s">
        <v>218</v>
      </c>
      <c r="B17" s="19"/>
      <c r="C17" s="19"/>
      <c r="D17" s="19"/>
      <c r="E17" s="19"/>
      <c r="F17" s="19"/>
    </row>
  </sheetData>
  <mergeCells count="5">
    <mergeCell ref="A13:F13"/>
    <mergeCell ref="A14:F14"/>
    <mergeCell ref="A15:F15"/>
    <mergeCell ref="A16:F16"/>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B8798EE8B00942A20300F7DF56DFB1" ma:contentTypeVersion="12" ma:contentTypeDescription="Create a new document." ma:contentTypeScope="" ma:versionID="7ac42dff34fd7ab1feba5a50e89284a4">
  <xsd:schema xmlns:xsd="http://www.w3.org/2001/XMLSchema" xmlns:xs="http://www.w3.org/2001/XMLSchema" xmlns:p="http://schemas.microsoft.com/office/2006/metadata/properties" xmlns:ns2="fa31c885-2cab-4de0-ae15-a6ad290079d3" xmlns:ns3="5fa9682c-c1a5-4be4-96ef-3b33ef7c0861" targetNamespace="http://schemas.microsoft.com/office/2006/metadata/properties" ma:root="true" ma:fieldsID="cb63ebda4d8a2e8ebdcef3a569402f7d" ns2:_="" ns3:_="">
    <xsd:import namespace="fa31c885-2cab-4de0-ae15-a6ad290079d3"/>
    <xsd:import namespace="5fa9682c-c1a5-4be4-96ef-3b33ef7c08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31c885-2cab-4de0-ae15-a6ad290079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e1b8c99-a49c-418b-8ebf-2c33793ded0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fa9682c-c1a5-4be4-96ef-3b33ef7c086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4f7ac22-5011-49a5-b0f2-77fb906c7d70}" ma:internalName="TaxCatchAll" ma:showField="CatchAllData" ma:web="5fa9682c-c1a5-4be4-96ef-3b33ef7c08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31c885-2cab-4de0-ae15-a6ad290079d3">
      <Terms xmlns="http://schemas.microsoft.com/office/infopath/2007/PartnerControls"/>
    </lcf76f155ced4ddcb4097134ff3c332f>
    <TaxCatchAll xmlns="5fa9682c-c1a5-4be4-96ef-3b33ef7c0861" xsi:nil="true"/>
  </documentManagement>
</p:properties>
</file>

<file path=customXml/itemProps1.xml><?xml version="1.0" encoding="utf-8"?>
<ds:datastoreItem xmlns:ds="http://schemas.openxmlformats.org/officeDocument/2006/customXml" ds:itemID="{34E0FDED-42F2-48F6-97A2-B50AB7A81227}"/>
</file>

<file path=customXml/itemProps2.xml><?xml version="1.0" encoding="utf-8"?>
<ds:datastoreItem xmlns:ds="http://schemas.openxmlformats.org/officeDocument/2006/customXml" ds:itemID="{BAB43A89-B3AF-4C3B-8DCD-DE2E6E7DA957}"/>
</file>

<file path=customXml/itemProps3.xml><?xml version="1.0" encoding="utf-8"?>
<ds:datastoreItem xmlns:ds="http://schemas.openxmlformats.org/officeDocument/2006/customXml" ds:itemID="{B3296004-E07A-4E5F-98CF-184BE527D15A}"/>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5</cp:revision>
  <dcterms:created xsi:type="dcterms:W3CDTF">2026-06-29T19:02:31Z</dcterms:created>
  <dcterms:modified xsi:type="dcterms:W3CDTF">2026-06-29T21:19:04Z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0x010100E6B8798EE8B00942A20300F7DF56DFB1</vt:lpwstr>
  </property>
</Properties>
</file>