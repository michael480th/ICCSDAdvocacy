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chaelParrott\Documents\GitHub\ICCSDAdvocacy\auditreports\"/>
    </mc:Choice>
  </mc:AlternateContent>
  <xr:revisionPtr revIDLastSave="0" documentId="13_ncr:1_{CE0AD31C-0DFD-4720-9857-8C6CA2693E0C}" xr6:coauthVersionLast="47" xr6:coauthVersionMax="47" xr10:uidLastSave="{00000000-0000-0000-0000-000000000000}"/>
  <bookViews>
    <workbookView xWindow="-110" yWindow="-110" windowWidth="38620" windowHeight="21100" tabRatio="500" activeTab="1" xr2:uid="{00000000-000D-0000-FFFF-FFFF00000000}"/>
  </bookViews>
  <sheets>
    <sheet name="Notes &amp; Tie-Out" sheetId="1" r:id="rId1"/>
    <sheet name="Cash by Fund" sheetId="11" r:id="rId2"/>
    <sheet name="General" sheetId="2" r:id="rId3"/>
    <sheet name="PPEL" sheetId="3" r:id="rId4"/>
    <sheet name="Capital Projects" sheetId="4" r:id="rId5"/>
    <sheet name="Debt Service" sheetId="5" r:id="rId6"/>
    <sheet name="GO Bonds" sheetId="6" r:id="rId7"/>
    <sheet name="Management Levy" sheetId="7" r:id="rId8"/>
    <sheet name="Nonmajor" sheetId="8" r:id="rId9"/>
    <sheet name="Total Governmental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11" l="1"/>
  <c r="L14" i="11"/>
  <c r="L27" i="11" s="1"/>
  <c r="K14" i="11"/>
  <c r="K27" i="11" s="1"/>
  <c r="J14" i="11"/>
  <c r="J27" i="11" s="1"/>
  <c r="I14" i="11"/>
  <c r="I27" i="11" s="1"/>
  <c r="H14" i="11"/>
  <c r="H27" i="11" s="1"/>
  <c r="G14" i="11"/>
  <c r="G27" i="11" s="1"/>
  <c r="F14" i="11"/>
  <c r="F27" i="11" s="1"/>
  <c r="E14" i="11"/>
  <c r="E27" i="11" s="1"/>
  <c r="D14" i="11"/>
  <c r="D27" i="11" s="1"/>
  <c r="C14" i="11"/>
  <c r="C27" i="11" s="1"/>
  <c r="L13" i="11"/>
  <c r="L26" i="11" s="1"/>
  <c r="K13" i="11"/>
  <c r="K26" i="11" s="1"/>
  <c r="J13" i="11"/>
  <c r="J26" i="11" s="1"/>
  <c r="I13" i="11"/>
  <c r="I26" i="11" s="1"/>
  <c r="H13" i="11"/>
  <c r="H26" i="11" s="1"/>
  <c r="G13" i="11"/>
  <c r="G26" i="11" s="1"/>
  <c r="F13" i="11"/>
  <c r="F26" i="11" s="1"/>
  <c r="E13" i="11"/>
  <c r="E26" i="11" s="1"/>
  <c r="D13" i="11"/>
  <c r="D26" i="11" s="1"/>
  <c r="C13" i="11"/>
  <c r="C26" i="11" s="1"/>
  <c r="L12" i="11"/>
  <c r="L25" i="11" s="1"/>
  <c r="K12" i="11"/>
  <c r="K25" i="11" s="1"/>
  <c r="J12" i="11"/>
  <c r="J25" i="11" s="1"/>
  <c r="I12" i="11"/>
  <c r="I25" i="11" s="1"/>
  <c r="H12" i="11"/>
  <c r="H25" i="11" s="1"/>
  <c r="G12" i="11"/>
  <c r="G25" i="11" s="1"/>
  <c r="F12" i="11"/>
  <c r="F25" i="11" s="1"/>
  <c r="E12" i="11"/>
  <c r="E25" i="11" s="1"/>
  <c r="D12" i="11"/>
  <c r="D25" i="11" s="1"/>
  <c r="C12" i="11"/>
  <c r="C25" i="11" s="1"/>
  <c r="L11" i="11"/>
  <c r="L24" i="11" s="1"/>
  <c r="K11" i="11"/>
  <c r="K24" i="11" s="1"/>
  <c r="J11" i="11"/>
  <c r="J24" i="11" s="1"/>
  <c r="I11" i="11"/>
  <c r="I24" i="11" s="1"/>
  <c r="H11" i="11"/>
  <c r="H24" i="11" s="1"/>
  <c r="G11" i="11"/>
  <c r="G24" i="11" s="1"/>
  <c r="F11" i="11"/>
  <c r="F24" i="11" s="1"/>
  <c r="E11" i="11"/>
  <c r="E24" i="11" s="1"/>
  <c r="D11" i="11"/>
  <c r="D24" i="11" s="1"/>
  <c r="C11" i="11"/>
  <c r="C24" i="11" s="1"/>
  <c r="L10" i="11"/>
  <c r="L23" i="11" s="1"/>
  <c r="K10" i="11"/>
  <c r="K23" i="11" s="1"/>
  <c r="J10" i="11"/>
  <c r="J23" i="11" s="1"/>
  <c r="I10" i="11"/>
  <c r="I23" i="11" s="1"/>
  <c r="H10" i="11"/>
  <c r="G10" i="11"/>
  <c r="H23" i="11" s="1"/>
  <c r="F10" i="11"/>
  <c r="F23" i="11" s="1"/>
  <c r="E10" i="11"/>
  <c r="E23" i="11" s="1"/>
  <c r="D10" i="11"/>
  <c r="D23" i="11" s="1"/>
  <c r="C10" i="11"/>
  <c r="C23" i="11" s="1"/>
  <c r="L9" i="11"/>
  <c r="L22" i="11" s="1"/>
  <c r="K9" i="11"/>
  <c r="K22" i="11" s="1"/>
  <c r="J9" i="11"/>
  <c r="J22" i="11" s="1"/>
  <c r="I9" i="11"/>
  <c r="I22" i="11" s="1"/>
  <c r="H9" i="11"/>
  <c r="H22" i="11" s="1"/>
  <c r="G9" i="11"/>
  <c r="G22" i="11" s="1"/>
  <c r="F9" i="11"/>
  <c r="F22" i="11" s="1"/>
  <c r="E9" i="11"/>
  <c r="E22" i="11" s="1"/>
  <c r="D9" i="11"/>
  <c r="D22" i="11" s="1"/>
  <c r="C9" i="11"/>
  <c r="C22" i="11" s="1"/>
  <c r="L8" i="11"/>
  <c r="L21" i="11" s="1"/>
  <c r="K8" i="11"/>
  <c r="K21" i="11" s="1"/>
  <c r="J8" i="11"/>
  <c r="J21" i="11" s="1"/>
  <c r="I8" i="11"/>
  <c r="I21" i="11" s="1"/>
  <c r="H8" i="11"/>
  <c r="H21" i="11" s="1"/>
  <c r="G8" i="11"/>
  <c r="G21" i="11" s="1"/>
  <c r="F8" i="11"/>
  <c r="F21" i="11" s="1"/>
  <c r="E8" i="11"/>
  <c r="E21" i="11" s="1"/>
  <c r="D8" i="11"/>
  <c r="D21" i="11" s="1"/>
  <c r="C8" i="11"/>
  <c r="C21" i="11" s="1"/>
  <c r="L7" i="11"/>
  <c r="L20" i="11" s="1"/>
  <c r="K7" i="11"/>
  <c r="K20" i="11" s="1"/>
  <c r="J7" i="11"/>
  <c r="J20" i="11" s="1"/>
  <c r="I7" i="11"/>
  <c r="I20" i="11" s="1"/>
  <c r="H7" i="11"/>
  <c r="H20" i="11" s="1"/>
  <c r="G7" i="11"/>
  <c r="G20" i="11" s="1"/>
  <c r="F7" i="11"/>
  <c r="E7" i="11"/>
  <c r="E20" i="11" s="1"/>
  <c r="D7" i="11"/>
  <c r="D20" i="11" s="1"/>
  <c r="C7" i="11"/>
  <c r="B14" i="11"/>
  <c r="B13" i="11"/>
  <c r="B12" i="11"/>
  <c r="B11" i="11"/>
  <c r="B10" i="11"/>
  <c r="B9" i="11"/>
  <c r="B8" i="11"/>
  <c r="B7" i="11"/>
  <c r="L39" i="9"/>
  <c r="K39" i="9"/>
  <c r="J39" i="9"/>
  <c r="L38" i="9"/>
  <c r="K38" i="9"/>
  <c r="J38" i="9"/>
  <c r="I38" i="9"/>
  <c r="H38" i="9"/>
  <c r="H39" i="9" s="1"/>
  <c r="G38" i="9"/>
  <c r="F38" i="9"/>
  <c r="E38" i="9"/>
  <c r="D38" i="9"/>
  <c r="C38" i="9"/>
  <c r="B38" i="9"/>
  <c r="L31" i="9"/>
  <c r="K31" i="9"/>
  <c r="J31" i="9"/>
  <c r="I31" i="9"/>
  <c r="H31" i="9"/>
  <c r="G31" i="9"/>
  <c r="F31" i="9"/>
  <c r="E31" i="9"/>
  <c r="D31" i="9"/>
  <c r="C31" i="9"/>
  <c r="C39" i="9" s="1"/>
  <c r="C41" i="9" s="1"/>
  <c r="B31" i="9"/>
  <c r="L24" i="9"/>
  <c r="K24" i="9"/>
  <c r="J24" i="9"/>
  <c r="I24" i="9"/>
  <c r="I39" i="9" s="1"/>
  <c r="H24" i="9"/>
  <c r="G24" i="9"/>
  <c r="G39" i="9" s="1"/>
  <c r="F24" i="9"/>
  <c r="F39" i="9" s="1"/>
  <c r="F41" i="9" s="1"/>
  <c r="E24" i="9"/>
  <c r="E39" i="9" s="1"/>
  <c r="D24" i="9"/>
  <c r="D39" i="9" s="1"/>
  <c r="C24" i="9"/>
  <c r="B24" i="9"/>
  <c r="B39" i="9" s="1"/>
  <c r="B41" i="9" s="1"/>
  <c r="L17" i="9"/>
  <c r="L41" i="9" s="1"/>
  <c r="K17" i="9"/>
  <c r="K41" i="9" s="1"/>
  <c r="J17" i="9"/>
  <c r="J41" i="9" s="1"/>
  <c r="I17" i="9"/>
  <c r="H17" i="9"/>
  <c r="H41" i="9" s="1"/>
  <c r="G17" i="9"/>
  <c r="F17" i="9"/>
  <c r="E17" i="9"/>
  <c r="E41" i="9" s="1"/>
  <c r="D17" i="9"/>
  <c r="D41" i="9" s="1"/>
  <c r="C17" i="9"/>
  <c r="B17" i="9"/>
  <c r="C41" i="8"/>
  <c r="L39" i="8"/>
  <c r="C39" i="8"/>
  <c r="L38" i="8"/>
  <c r="K38" i="8"/>
  <c r="J38" i="8"/>
  <c r="J39" i="8" s="1"/>
  <c r="J41" i="8" s="1"/>
  <c r="I38" i="8"/>
  <c r="H38" i="8"/>
  <c r="G38" i="8"/>
  <c r="F38" i="8"/>
  <c r="E38" i="8"/>
  <c r="D38" i="8"/>
  <c r="C38" i="8"/>
  <c r="B38" i="8"/>
  <c r="L31" i="8"/>
  <c r="K31" i="8"/>
  <c r="J31" i="8"/>
  <c r="I31" i="8"/>
  <c r="H31" i="8"/>
  <c r="G31" i="8"/>
  <c r="F31" i="8"/>
  <c r="E31" i="8"/>
  <c r="E39" i="8" s="1"/>
  <c r="E41" i="8" s="1"/>
  <c r="D31" i="8"/>
  <c r="C31" i="8"/>
  <c r="B31" i="8"/>
  <c r="L24" i="8"/>
  <c r="K24" i="8"/>
  <c r="K39" i="8" s="1"/>
  <c r="J24" i="8"/>
  <c r="I24" i="8"/>
  <c r="I39" i="8" s="1"/>
  <c r="H24" i="8"/>
  <c r="H39" i="8" s="1"/>
  <c r="H41" i="8" s="1"/>
  <c r="G24" i="8"/>
  <c r="G39" i="8" s="1"/>
  <c r="F24" i="8"/>
  <c r="F39" i="8" s="1"/>
  <c r="E24" i="8"/>
  <c r="D24" i="8"/>
  <c r="D39" i="8" s="1"/>
  <c r="D41" i="8" s="1"/>
  <c r="C24" i="8"/>
  <c r="B24" i="8"/>
  <c r="B39" i="8" s="1"/>
  <c r="B41" i="8" s="1"/>
  <c r="L17" i="8"/>
  <c r="L41" i="8" s="1"/>
  <c r="K17" i="8"/>
  <c r="J17" i="8"/>
  <c r="I17" i="8"/>
  <c r="H17" i="8"/>
  <c r="G17" i="8"/>
  <c r="F17" i="8"/>
  <c r="E17" i="8"/>
  <c r="D17" i="8"/>
  <c r="C17" i="8"/>
  <c r="B17" i="8"/>
  <c r="L38" i="7"/>
  <c r="K38" i="7"/>
  <c r="L31" i="7"/>
  <c r="L39" i="7" s="1"/>
  <c r="L41" i="7" s="1"/>
  <c r="K31" i="7"/>
  <c r="L24" i="7"/>
  <c r="K24" i="7"/>
  <c r="K39" i="7" s="1"/>
  <c r="L17" i="7"/>
  <c r="K17" i="7"/>
  <c r="K41" i="7" s="1"/>
  <c r="E39" i="6"/>
  <c r="E41" i="6" s="1"/>
  <c r="I38" i="6"/>
  <c r="H38" i="6"/>
  <c r="H39" i="6" s="1"/>
  <c r="G38" i="6"/>
  <c r="F38" i="6"/>
  <c r="E38" i="6"/>
  <c r="I31" i="6"/>
  <c r="H31" i="6"/>
  <c r="G31" i="6"/>
  <c r="F31" i="6"/>
  <c r="E31" i="6"/>
  <c r="I24" i="6"/>
  <c r="I39" i="6" s="1"/>
  <c r="H24" i="6"/>
  <c r="G24" i="6"/>
  <c r="G39" i="6" s="1"/>
  <c r="F24" i="6"/>
  <c r="F39" i="6" s="1"/>
  <c r="E24" i="6"/>
  <c r="I17" i="6"/>
  <c r="I41" i="6" s="1"/>
  <c r="H17" i="6"/>
  <c r="G17" i="6"/>
  <c r="G41" i="6" s="1"/>
  <c r="F17" i="6"/>
  <c r="F41" i="6" s="1"/>
  <c r="E17" i="6"/>
  <c r="G39" i="5"/>
  <c r="F39" i="5"/>
  <c r="E39" i="5"/>
  <c r="E41" i="5" s="1"/>
  <c r="L38" i="5"/>
  <c r="J38" i="5"/>
  <c r="I38" i="5"/>
  <c r="H38" i="5"/>
  <c r="G38" i="5"/>
  <c r="F38" i="5"/>
  <c r="E38" i="5"/>
  <c r="L31" i="5"/>
  <c r="J31" i="5"/>
  <c r="I31" i="5"/>
  <c r="H31" i="5"/>
  <c r="G31" i="5"/>
  <c r="F31" i="5"/>
  <c r="E31" i="5"/>
  <c r="L24" i="5"/>
  <c r="L39" i="5" s="1"/>
  <c r="L41" i="5" s="1"/>
  <c r="J24" i="5"/>
  <c r="J39" i="5" s="1"/>
  <c r="J41" i="5" s="1"/>
  <c r="I24" i="5"/>
  <c r="I39" i="5" s="1"/>
  <c r="H24" i="5"/>
  <c r="H39" i="5" s="1"/>
  <c r="G24" i="5"/>
  <c r="F24" i="5"/>
  <c r="E24" i="5"/>
  <c r="L17" i="5"/>
  <c r="J17" i="5"/>
  <c r="I17" i="5"/>
  <c r="H17" i="5"/>
  <c r="G17" i="5"/>
  <c r="G41" i="5" s="1"/>
  <c r="F17" i="5"/>
  <c r="F41" i="5" s="1"/>
  <c r="E17" i="5"/>
  <c r="D39" i="4"/>
  <c r="C39" i="4"/>
  <c r="B39" i="4"/>
  <c r="L38" i="4"/>
  <c r="K38" i="4"/>
  <c r="J38" i="4"/>
  <c r="I38" i="4"/>
  <c r="H38" i="4"/>
  <c r="G38" i="4"/>
  <c r="F38" i="4"/>
  <c r="E38" i="4"/>
  <c r="D38" i="4"/>
  <c r="C38" i="4"/>
  <c r="B38" i="4"/>
  <c r="L31" i="4"/>
  <c r="K31" i="4"/>
  <c r="K39" i="4" s="1"/>
  <c r="K41" i="4" s="1"/>
  <c r="J31" i="4"/>
  <c r="I31" i="4"/>
  <c r="I39" i="4" s="1"/>
  <c r="I41" i="4" s="1"/>
  <c r="H31" i="4"/>
  <c r="G31" i="4"/>
  <c r="F31" i="4"/>
  <c r="E31" i="4"/>
  <c r="D31" i="4"/>
  <c r="C31" i="4"/>
  <c r="B31" i="4"/>
  <c r="L24" i="4"/>
  <c r="L39" i="4" s="1"/>
  <c r="K24" i="4"/>
  <c r="J24" i="4"/>
  <c r="J39" i="4" s="1"/>
  <c r="J41" i="4" s="1"/>
  <c r="I24" i="4"/>
  <c r="H24" i="4"/>
  <c r="H39" i="4" s="1"/>
  <c r="H41" i="4" s="1"/>
  <c r="G24" i="4"/>
  <c r="G39" i="4" s="1"/>
  <c r="G41" i="4" s="1"/>
  <c r="F24" i="4"/>
  <c r="F39" i="4" s="1"/>
  <c r="F41" i="4" s="1"/>
  <c r="E24" i="4"/>
  <c r="E39" i="4" s="1"/>
  <c r="D24" i="4"/>
  <c r="C24" i="4"/>
  <c r="B24" i="4"/>
  <c r="L17" i="4"/>
  <c r="L41" i="4" s="1"/>
  <c r="K17" i="4"/>
  <c r="J17" i="4"/>
  <c r="I17" i="4"/>
  <c r="H17" i="4"/>
  <c r="G17" i="4"/>
  <c r="F17" i="4"/>
  <c r="E17" i="4"/>
  <c r="D17" i="4"/>
  <c r="D41" i="4" s="1"/>
  <c r="C17" i="4"/>
  <c r="C41" i="4" s="1"/>
  <c r="B17" i="4"/>
  <c r="B41" i="4" s="1"/>
  <c r="L41" i="3"/>
  <c r="L39" i="3"/>
  <c r="E39" i="3"/>
  <c r="D39" i="3"/>
  <c r="L38" i="3"/>
  <c r="J38" i="3"/>
  <c r="I38" i="3"/>
  <c r="H38" i="3"/>
  <c r="G38" i="3"/>
  <c r="F38" i="3"/>
  <c r="E38" i="3"/>
  <c r="D38" i="3"/>
  <c r="C38" i="3"/>
  <c r="B38" i="3"/>
  <c r="L31" i="3"/>
  <c r="J31" i="3"/>
  <c r="I31" i="3"/>
  <c r="I39" i="3" s="1"/>
  <c r="I41" i="3" s="1"/>
  <c r="H31" i="3"/>
  <c r="G31" i="3"/>
  <c r="F31" i="3"/>
  <c r="F39" i="3" s="1"/>
  <c r="F41" i="3" s="1"/>
  <c r="E31" i="3"/>
  <c r="D31" i="3"/>
  <c r="C31" i="3"/>
  <c r="B31" i="3"/>
  <c r="L24" i="3"/>
  <c r="J24" i="3"/>
  <c r="J39" i="3" s="1"/>
  <c r="J41" i="3" s="1"/>
  <c r="I24" i="3"/>
  <c r="H24" i="3"/>
  <c r="H39" i="3" s="1"/>
  <c r="G24" i="3"/>
  <c r="G39" i="3" s="1"/>
  <c r="G41" i="3" s="1"/>
  <c r="F24" i="3"/>
  <c r="E24" i="3"/>
  <c r="D24" i="3"/>
  <c r="C24" i="3"/>
  <c r="C39" i="3" s="1"/>
  <c r="B24" i="3"/>
  <c r="B39" i="3" s="1"/>
  <c r="L17" i="3"/>
  <c r="J17" i="3"/>
  <c r="I17" i="3"/>
  <c r="H17" i="3"/>
  <c r="H41" i="3" s="1"/>
  <c r="G17" i="3"/>
  <c r="F17" i="3"/>
  <c r="E17" i="3"/>
  <c r="E41" i="3" s="1"/>
  <c r="D17" i="3"/>
  <c r="D41" i="3" s="1"/>
  <c r="C17" i="3"/>
  <c r="B17" i="3"/>
  <c r="B39" i="2"/>
  <c r="L38" i="2"/>
  <c r="K38" i="2"/>
  <c r="J38" i="2"/>
  <c r="I38" i="2"/>
  <c r="H38" i="2"/>
  <c r="G38" i="2"/>
  <c r="F38" i="2"/>
  <c r="E38" i="2"/>
  <c r="D38" i="2"/>
  <c r="C38" i="2"/>
  <c r="B38" i="2"/>
  <c r="L31" i="2"/>
  <c r="K31" i="2"/>
  <c r="J31" i="2"/>
  <c r="I31" i="2"/>
  <c r="I39" i="2" s="1"/>
  <c r="I41" i="2" s="1"/>
  <c r="H31" i="2"/>
  <c r="G31" i="2"/>
  <c r="G39" i="2" s="1"/>
  <c r="G41" i="2" s="1"/>
  <c r="F31" i="2"/>
  <c r="E31" i="2"/>
  <c r="D31" i="2"/>
  <c r="C31" i="2"/>
  <c r="B31" i="2"/>
  <c r="L24" i="2"/>
  <c r="L39" i="2" s="1"/>
  <c r="K24" i="2"/>
  <c r="K39" i="2" s="1"/>
  <c r="J24" i="2"/>
  <c r="J39" i="2" s="1"/>
  <c r="I24" i="2"/>
  <c r="H24" i="2"/>
  <c r="H39" i="2" s="1"/>
  <c r="H41" i="2" s="1"/>
  <c r="G24" i="2"/>
  <c r="F24" i="2"/>
  <c r="F39" i="2" s="1"/>
  <c r="F41" i="2" s="1"/>
  <c r="E24" i="2"/>
  <c r="E39" i="2" s="1"/>
  <c r="E41" i="2" s="1"/>
  <c r="D24" i="2"/>
  <c r="D39" i="2" s="1"/>
  <c r="D41" i="2" s="1"/>
  <c r="C24" i="2"/>
  <c r="C39" i="2" s="1"/>
  <c r="C41" i="2" s="1"/>
  <c r="B24" i="2"/>
  <c r="L17" i="2"/>
  <c r="K17" i="2"/>
  <c r="J17" i="2"/>
  <c r="I17" i="2"/>
  <c r="H17" i="2"/>
  <c r="G17" i="2"/>
  <c r="F17" i="2"/>
  <c r="E17" i="2"/>
  <c r="D17" i="2"/>
  <c r="C17" i="2"/>
  <c r="B17" i="2"/>
  <c r="B41" i="2" s="1"/>
  <c r="F20" i="11" l="1"/>
  <c r="G23" i="11"/>
  <c r="H41" i="6"/>
  <c r="I41" i="9"/>
  <c r="H41" i="5"/>
  <c r="I41" i="8"/>
  <c r="J41" i="2"/>
  <c r="G41" i="8"/>
  <c r="B41" i="3"/>
  <c r="K41" i="8"/>
  <c r="F41" i="8"/>
  <c r="G41" i="9"/>
  <c r="C41" i="3"/>
  <c r="E41" i="4"/>
  <c r="K41" i="2"/>
  <c r="L41" i="2"/>
  <c r="I41" i="5"/>
</calcChain>
</file>

<file path=xl/sharedStrings.xml><?xml version="1.0" encoding="utf-8"?>
<sst xmlns="http://schemas.openxmlformats.org/spreadsheetml/2006/main" count="558" uniqueCount="98">
  <si>
    <t>Iowa City Community School District</t>
  </si>
  <si>
    <t>Balance Sheet — Governmental Funds — by Fund, FY2015–FY2025</t>
  </si>
  <si>
    <t>Overview</t>
  </si>
  <si>
    <t>One worksheet per governmental fund. Rows follow the audited ACFR "Balance Sheet – Governmental Funds" line structure.</t>
  </si>
  <si>
    <t>Columns are fiscal years ended June 30, 2015 through 2025. All figures in US dollars.</t>
  </si>
  <si>
    <t>Subtotals (Total assets, Total liabilities, Total deferred inflows, Total fund balances) are live SUM formulas.</t>
  </si>
  <si>
    <t>Each tab ends with a Balance check row = Total assets − (Liabilities + Deferred inflows + Fund balances); it should equal "-" (zero).</t>
  </si>
  <si>
    <t>Sources</t>
  </si>
  <si>
    <t>FY2015–FY2024: Iowa City CSD audited Annual Comprehensive Financial Reports (Balance Sheet – Governmental Funds).</t>
  </si>
  <si>
    <t>FY2025: District "FY25 balance sheet by fund" CSV, mapped into the audited line structure (see mapping below).</t>
  </si>
  <si>
    <t>Funds presented each year (blank cell = fund not shown as a separate column that year; its balances are within Nonmajor or another column)</t>
  </si>
  <si>
    <t>Fund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</si>
  <si>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</si>
  <si>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</si>
  <si>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</si>
  <si>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</si>
  <si>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</si>
  <si>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</si>
  <si>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</si>
  <si>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</si>
  <si>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</si>
  <si>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</si>
  <si>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</si>
  <si>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General</t>
  </si>
  <si>
    <t>✓</t>
  </si>
  <si>
    <t>Physical Plant and Equipment Levy</t>
  </si>
  <si>
    <t>Capital Projects</t>
  </si>
  <si>
    <t>Debt Service</t>
  </si>
  <si>
    <t>General Obligation Bonds</t>
  </si>
  <si>
    <t>Management Levy</t>
  </si>
  <si>
    <t>Nonmajor Governmental Funds</t>
  </si>
  <si>
    <t>Total Governmental Funds</t>
  </si>
  <si>
    <t>FY2025 fund mapping (district CSV → audited fund column)</t>
  </si>
  <si>
    <t>General Fund → General;  PPEL Fund → Physical Plant and Equipment Levy;  Management Levy Fund → Management Levy</t>
  </si>
  <si>
    <t>SAVE (Statewide Sales &amp; Services Tax) + Other Capital Project Funds → Capital Projects;  Debt Service Fund → Debt Service</t>
  </si>
  <si>
    <t>Non-Fiduciary Scholarship, Student Activity, Entrepreneurial Education, PERL, AEA (Sp Ed / JH), Support Trust, Disaster Recovery, Library Levy, Permanent Funds → Nonmajor Governmental Funds</t>
  </si>
  <si>
    <t>Excluded (not part of the governmental funds balance sheet): Enterprise, Internal Service, Trust and Custodial funds.</t>
  </si>
  <si>
    <t>FY2025 line reclassifications to fit the audited structure</t>
  </si>
  <si>
    <t>• Property tax receivable split into current / succeeding year using the succeeding-year property-tax deferred inflow.</t>
  </si>
  <si>
    <t>• Income surtax receivable separated from intergovernmental receivables (= income-surtax deferred inflow).</t>
  </si>
  <si>
    <t>• Inventories folded into Prepaid items (both nonspendable).  Restricted cash combined into Cash.</t>
  </si>
  <si>
    <t>• Small deferred outflow of resources (General Fund only) folded into Other receivables to preserve the balance.</t>
  </si>
  <si>
    <t>• Restricted fund-balance sub-categories aggregated into a single Restricted line (matching FY2015–FY2023 presentation).</t>
  </si>
  <si>
    <t>• General Obligation Bonds capital fund is within Other Capital Project Funds in FY2025 (no separate column).</t>
  </si>
  <si>
    <t>Validation: every fund-year balances (Assets = Liabilities + Deferred inflows + Fund balances), and the sum of the</t>
  </si>
  <si>
    <t>individual fund columns equals the Total Governmental Funds column for each year FY2015–FY2025.</t>
  </si>
  <si>
    <t>Balance Sheet — Governmental Funds</t>
  </si>
  <si>
    <t>General  (US dollars)</t>
  </si>
  <si>
    <t>As of June 30</t>
  </si>
  <si>
    <t>ASSETS</t>
  </si>
  <si>
    <t>Cash, cash equivalents and investments</t>
  </si>
  <si>
    <t>Restricted cash</t>
  </si>
  <si>
    <t>Property tax receivable - current year</t>
  </si>
  <si>
    <t>Property tax receivable - succeeding year</t>
  </si>
  <si>
    <t>Income surtax receivable</t>
  </si>
  <si>
    <t>Sales tax receivable</t>
  </si>
  <si>
    <t>Other receivables</t>
  </si>
  <si>
    <t>Due from other governments</t>
  </si>
  <si>
    <t>Due from other funds</t>
  </si>
  <si>
    <t>Prepaid items</t>
  </si>
  <si>
    <t>Total assets</t>
  </si>
  <si>
    <t>LIABILITIES</t>
  </si>
  <si>
    <t>Accounts payable</t>
  </si>
  <si>
    <t>Salaries and benefits payable / accrued liabilities</t>
  </si>
  <si>
    <t>Due to other funds</t>
  </si>
  <si>
    <t>Due to fiduciary funds</t>
  </si>
  <si>
    <t>Unearned revenue</t>
  </si>
  <si>
    <t>Total liabilities</t>
  </si>
  <si>
    <t>DEFERRED INFLOWS OF RESOURCES</t>
  </si>
  <si>
    <t>Unavailable revenue - property tax</t>
  </si>
  <si>
    <t>Unavailable revenue - income surtax</t>
  </si>
  <si>
    <t>Unavailable revenue - sales tax</t>
  </si>
  <si>
    <t>Unavailable revenue - federal sources</t>
  </si>
  <si>
    <t>Unavailable revenue - other</t>
  </si>
  <si>
    <t>Total deferred inflows of resources</t>
  </si>
  <si>
    <t>FUND BALANCES</t>
  </si>
  <si>
    <t>Nonspendable</t>
  </si>
  <si>
    <t>Restricted</t>
  </si>
  <si>
    <t>Committed</t>
  </si>
  <si>
    <t>Assigned</t>
  </si>
  <si>
    <t>Unassigned</t>
  </si>
  <si>
    <t>Total fund balances</t>
  </si>
  <si>
    <t>Total liabilities, deferred inflows and fund balances</t>
  </si>
  <si>
    <t>Balance check (Total assets − L − DI − FB)</t>
  </si>
  <si>
    <t>Physical Plant and Equipment Levy  (US dollars)</t>
  </si>
  <si>
    <t>Capital Projects  (US dollars)</t>
  </si>
  <si>
    <t>Debt Service  (US dollars)</t>
  </si>
  <si>
    <t>General Obligation Bonds  (US dollars)</t>
  </si>
  <si>
    <t>Management Levy  (US dollars)</t>
  </si>
  <si>
    <t>Nonmajor Governmental Funds  (US dollars)</t>
  </si>
  <si>
    <t>Total Governmental Funds  (US dollars)</t>
  </si>
  <si>
    <t>Cash, cash equivalents and investments by fund</t>
  </si>
  <si>
    <t>PPEL</t>
  </si>
  <si>
    <t>GO Bonds</t>
  </si>
  <si>
    <t>Nonmajor</t>
  </si>
  <si>
    <t>Total Governmental</t>
  </si>
  <si>
    <t>Vs year prior</t>
  </si>
  <si>
    <t>Cash, cash equivalents and investments by fund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</si>
</sst>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;\(#,##0\);\-"/>
    <numFmt numFmtId="166" formatCode="_(* #,##0_);_(* \(#,##0\);_(* &quot;-&quot;??_);_(@_)"/>
  </numFmts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3864"/>
      <name val="Arial"/>
      <family val="2"/>
    </font>
    <font>
      <b/>
      <sz val="12"/>
      <color rgb="FF2E5496"/>
      <name val="Arial"/>
      <family val="2"/>
    </font>
    <font>
      <sz val="9"/>
      <color rgb="FF000000"/>
      <name val="Arial"/>
      <family val="2"/>
    </font>
    <font>
      <b/>
      <sz val="11"/>
      <color rgb="FF2E5496"/>
      <name val="Arial"/>
      <family val="2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1F7A1F"/>
      <name val="Arial"/>
      <family val="2"/>
    </font>
    <font>
      <b/>
      <sz val="13"/>
      <color rgb="FF1F3864"/>
      <name val="Arial"/>
      <family val="2"/>
    </font>
    <font>
      <b/>
      <sz val="11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2E5496"/>
      <name val="Arial"/>
      <family val="2"/>
    </font>
    <font>
      <b/>
      <sz val="10"/>
      <color rgb="FF000000"/>
      <name val="Arial"/>
      <family val="2"/>
    </font>
    <font>
      <b/>
      <sz val="9"/>
      <color rgb="FF1F7A1F"/>
      <name val="Arial"/>
      <family val="2"/>
    </font>
    <font>
      <i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3" borderId="0" xfId="0" applyFont="1" applyFill="1"/>
    <xf numFmtId="0" fontId="12" fillId="3" borderId="0" xfId="0" applyFont="1" applyFill="1" applyAlignment="1">
      <alignment horizontal="center"/>
    </xf>
    <xf numFmtId="0" fontId="13" fillId="4" borderId="0" xfId="0" applyFont="1" applyFill="1"/>
    <xf numFmtId="0" fontId="0" fillId="4" borderId="0" xfId="0" applyFill="1"/>
    <xf numFmtId="0" fontId="6" fillId="0" borderId="0" xfId="0" applyFont="1" applyAlignment="1">
      <alignment indent="1"/>
    </xf>
    <xf numFmtId="164" fontId="6" fillId="0" borderId="0" xfId="0" applyNumberFormat="1" applyFont="1" applyAlignment="1">
      <alignment horizontal="right"/>
    </xf>
    <xf numFmtId="0" fontId="14" fillId="0" borderId="1" xfId="0" applyFont="1" applyBorder="1"/>
    <xf numFmtId="164" fontId="14" fillId="0" borderId="1" xfId="0" applyNumberFormat="1" applyFont="1" applyBorder="1" applyAlignment="1">
      <alignment horizontal="right"/>
    </xf>
    <xf numFmtId="0" fontId="15" fillId="0" borderId="0" xfId="0" applyFont="1"/>
    <xf numFmtId="164" fontId="15" fillId="0" borderId="0" xfId="0" applyNumberFormat="1" applyFont="1" applyAlignment="1">
      <alignment horizontal="right"/>
    </xf>
    <xf numFmtId="166" fontId="1" fillId="0" borderId="0" xfId="1" applyNumberFormat="1" applyAlignment="1">
      <alignment horizontal="right"/>
    </xf>
    <xf numFmtId="166" fontId="1" fillId="0" borderId="0" xfId="1" applyNumberFormat="1"/>
    <xf numFmtId="0" fontId="6" fillId="0" borderId="2" xfId="0" applyFont="1" applyBorder="1" applyAlignment="1">
      <alignment indent="1"/>
    </xf>
    <xf numFmtId="166" fontId="1" fillId="0" borderId="2" xfId="1" applyNumberFormat="1" applyBorder="1"/>
    <xf numFmtId="166" fontId="16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showGridLines="0" zoomScaleNormal="100" workbookViewId="0">
      <selection activeCell="A16" sqref="A16"/>
    </sheetView>
  </sheetViews>
  <sheetFormatPr defaultColWidth="8.6328125" defaultRowHeight="14.5" x14ac:dyDescent="0.35"/>
  <cols>
    <col min="1" max="1" width="64" customWidth="1"/>
    <col min="2" max="12" width="8" customWidth="1"/>
  </cols>
  <sheetData>
    <row r="1" spans="1:12" ht="18" x14ac:dyDescent="0.4">
      <c r="A1" s="1" t="s">
        <v>0</v>
      </c>
    </row>
    <row r="2" spans="1:12" ht="15.5" x14ac:dyDescent="0.35">
      <c r="A2" s="2" t="s">
        <v>1</v>
      </c>
    </row>
    <row r="3" spans="1:12" x14ac:dyDescent="0.35">
      <c r="A3" s="3"/>
    </row>
    <row r="4" spans="1:12" x14ac:dyDescent="0.35">
      <c r="A4" s="4" t="s">
        <v>2</v>
      </c>
    </row>
    <row r="5" spans="1:12" x14ac:dyDescent="0.35">
      <c r="A5" s="5" t="s">
        <v>3</v>
      </c>
    </row>
    <row r="6" spans="1:12" x14ac:dyDescent="0.35">
      <c r="A6" s="5" t="s">
        <v>4</v>
      </c>
    </row>
    <row r="7" spans="1:12" x14ac:dyDescent="0.35">
      <c r="A7" s="5" t="s">
        <v>5</v>
      </c>
    </row>
    <row r="8" spans="1:12" x14ac:dyDescent="0.35">
      <c r="A8" s="5" t="s">
        <v>6</v>
      </c>
    </row>
    <row r="9" spans="1:12" x14ac:dyDescent="0.35">
      <c r="A9" s="3"/>
    </row>
    <row r="10" spans="1:12" x14ac:dyDescent="0.35">
      <c r="A10" s="4" t="s">
        <v>7</v>
      </c>
    </row>
    <row r="11" spans="1:12" x14ac:dyDescent="0.35">
      <c r="A11" s="5" t="s">
        <v>8</v>
      </c>
    </row>
    <row r="12" spans="1:12" x14ac:dyDescent="0.35">
      <c r="A12" s="5" t="s">
        <v>9</v>
      </c>
    </row>
    <row r="13" spans="1:12" x14ac:dyDescent="0.35">
      <c r="A13" s="3"/>
    </row>
    <row r="14" spans="1:12" x14ac:dyDescent="0.35">
      <c r="A14" s="4" t="s">
        <v>10</v>
      </c>
    </row>
    <row r="16" spans="1:12" x14ac:dyDescent="0.35">
      <c r="A16" s="6" t="s">
        <v>11</v>
      </c>
      <c r="B16" s="6" t="s">
        <v>12</v>
      </c>
      <c r="C16" s="6" t="s">
        <v>13</v>
      </c>
      <c r="D16" s="6" t="s">
        <v>14</v>
      </c>
      <c r="E16" s="6" t="s">
        <v>15</v>
      </c>
      <c r="F16" s="6" t="s">
        <v>16</v>
      </c>
      <c r="G16" s="6" t="s">
        <v>17</v>
      </c>
      <c r="H16" s="6" t="s">
        <v>18</v>
      </c>
      <c r="I16" s="6" t="s">
        <v>19</v>
      </c>
      <c r="J16" s="6" t="s">
        <v>20</v>
      </c>
      <c r="K16" s="6" t="s">
        <v>21</v>
      </c>
      <c r="L16" s="6" t="s">
        <v>22</v>
      </c>
    </row>
    <row r="17" spans="1:12" x14ac:dyDescent="0.35">
      <c r="A17" s="3" t="s">
        <v>23</v>
      </c>
      <c r="B17" s="7" t="s">
        <v>24</v>
      </c>
      <c r="C17" s="7" t="s">
        <v>24</v>
      </c>
      <c r="D17" s="7" t="s">
        <v>24</v>
      </c>
      <c r="E17" s="7" t="s">
        <v>24</v>
      </c>
      <c r="F17" s="7" t="s">
        <v>24</v>
      </c>
      <c r="G17" s="7" t="s">
        <v>24</v>
      </c>
      <c r="H17" s="7" t="s">
        <v>24</v>
      </c>
      <c r="I17" s="7" t="s">
        <v>24</v>
      </c>
      <c r="J17" s="7" t="s">
        <v>24</v>
      </c>
      <c r="K17" s="7" t="s">
        <v>24</v>
      </c>
      <c r="L17" s="7" t="s">
        <v>24</v>
      </c>
    </row>
    <row r="18" spans="1:12" x14ac:dyDescent="0.35">
      <c r="A18" s="3" t="s">
        <v>25</v>
      </c>
      <c r="B18" s="7" t="s">
        <v>24</v>
      </c>
      <c r="C18" s="7" t="s">
        <v>24</v>
      </c>
      <c r="D18" s="7" t="s">
        <v>24</v>
      </c>
      <c r="E18" s="7" t="s">
        <v>24</v>
      </c>
      <c r="F18" s="7" t="s">
        <v>24</v>
      </c>
      <c r="G18" s="7" t="s">
        <v>24</v>
      </c>
      <c r="H18" s="7" t="s">
        <v>24</v>
      </c>
      <c r="I18" s="7" t="s">
        <v>24</v>
      </c>
      <c r="J18" s="7" t="s">
        <v>24</v>
      </c>
      <c r="K18" s="7"/>
      <c r="L18" s="7" t="s">
        <v>24</v>
      </c>
    </row>
    <row r="19" spans="1:12" x14ac:dyDescent="0.35">
      <c r="A19" s="3" t="s">
        <v>26</v>
      </c>
      <c r="B19" s="7" t="s">
        <v>24</v>
      </c>
      <c r="C19" s="7" t="s">
        <v>24</v>
      </c>
      <c r="D19" s="7" t="s">
        <v>24</v>
      </c>
      <c r="E19" s="7" t="s">
        <v>24</v>
      </c>
      <c r="F19" s="7" t="s">
        <v>24</v>
      </c>
      <c r="G19" s="7" t="s">
        <v>24</v>
      </c>
      <c r="H19" s="7" t="s">
        <v>24</v>
      </c>
      <c r="I19" s="7" t="s">
        <v>24</v>
      </c>
      <c r="J19" s="7" t="s">
        <v>24</v>
      </c>
      <c r="K19" s="7" t="s">
        <v>24</v>
      </c>
      <c r="L19" s="7" t="s">
        <v>24</v>
      </c>
    </row>
    <row r="20" spans="1:12" x14ac:dyDescent="0.35">
      <c r="A20" s="3" t="s">
        <v>27</v>
      </c>
      <c r="B20" s="7"/>
      <c r="C20" s="7"/>
      <c r="D20" s="7"/>
      <c r="E20" s="7" t="s">
        <v>24</v>
      </c>
      <c r="F20" s="7" t="s">
        <v>24</v>
      </c>
      <c r="G20" s="7" t="s">
        <v>24</v>
      </c>
      <c r="H20" s="7" t="s">
        <v>24</v>
      </c>
      <c r="I20" s="7" t="s">
        <v>24</v>
      </c>
      <c r="J20" s="7" t="s">
        <v>24</v>
      </c>
      <c r="K20" s="7"/>
      <c r="L20" s="7" t="s">
        <v>24</v>
      </c>
    </row>
    <row r="21" spans="1:12" x14ac:dyDescent="0.35">
      <c r="A21" s="3" t="s">
        <v>28</v>
      </c>
      <c r="B21" s="7"/>
      <c r="C21" s="7"/>
      <c r="D21" s="7"/>
      <c r="E21" s="7" t="s">
        <v>24</v>
      </c>
      <c r="F21" s="7" t="s">
        <v>24</v>
      </c>
      <c r="G21" s="7" t="s">
        <v>24</v>
      </c>
      <c r="H21" s="7" t="s">
        <v>24</v>
      </c>
      <c r="I21" s="7" t="s">
        <v>24</v>
      </c>
      <c r="J21" s="7"/>
      <c r="K21" s="7"/>
      <c r="L21" s="7"/>
    </row>
    <row r="22" spans="1:12" x14ac:dyDescent="0.35">
      <c r="A22" s="3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 t="s">
        <v>24</v>
      </c>
      <c r="L22" s="7" t="s">
        <v>24</v>
      </c>
    </row>
    <row r="23" spans="1:12" x14ac:dyDescent="0.35">
      <c r="A23" s="3" t="s">
        <v>30</v>
      </c>
      <c r="B23" s="7" t="s">
        <v>24</v>
      </c>
      <c r="C23" s="7" t="s">
        <v>24</v>
      </c>
      <c r="D23" s="7" t="s">
        <v>24</v>
      </c>
      <c r="E23" s="7" t="s">
        <v>24</v>
      </c>
      <c r="F23" s="7" t="s">
        <v>24</v>
      </c>
      <c r="G23" s="7" t="s">
        <v>24</v>
      </c>
      <c r="H23" s="7" t="s">
        <v>24</v>
      </c>
      <c r="I23" s="7" t="s">
        <v>24</v>
      </c>
      <c r="J23" s="7" t="s">
        <v>24</v>
      </c>
      <c r="K23" s="7" t="s">
        <v>24</v>
      </c>
      <c r="L23" s="7" t="s">
        <v>24</v>
      </c>
    </row>
    <row r="24" spans="1:12" x14ac:dyDescent="0.35">
      <c r="A24" s="8" t="s">
        <v>31</v>
      </c>
      <c r="B24" s="7" t="s">
        <v>24</v>
      </c>
      <c r="C24" s="7" t="s">
        <v>24</v>
      </c>
      <c r="D24" s="7" t="s">
        <v>24</v>
      </c>
      <c r="E24" s="7" t="s">
        <v>24</v>
      </c>
      <c r="F24" s="7" t="s">
        <v>24</v>
      </c>
      <c r="G24" s="7" t="s">
        <v>24</v>
      </c>
      <c r="H24" s="7" t="s">
        <v>24</v>
      </c>
      <c r="I24" s="7" t="s">
        <v>24</v>
      </c>
      <c r="J24" s="7" t="s">
        <v>24</v>
      </c>
      <c r="K24" s="7" t="s">
        <v>24</v>
      </c>
      <c r="L24" s="7" t="s">
        <v>24</v>
      </c>
    </row>
    <row r="26" spans="1:12" x14ac:dyDescent="0.35">
      <c r="A26" s="4" t="s">
        <v>32</v>
      </c>
    </row>
    <row r="27" spans="1:12" x14ac:dyDescent="0.35">
      <c r="A27" s="5" t="s">
        <v>33</v>
      </c>
    </row>
    <row r="28" spans="1:12" x14ac:dyDescent="0.35">
      <c r="A28" s="5" t="s">
        <v>34</v>
      </c>
    </row>
    <row r="29" spans="1:12" x14ac:dyDescent="0.35">
      <c r="A29" s="5" t="s">
        <v>35</v>
      </c>
    </row>
    <row r="30" spans="1:12" x14ac:dyDescent="0.35">
      <c r="A30" s="5" t="s">
        <v>36</v>
      </c>
    </row>
    <row r="31" spans="1:12" x14ac:dyDescent="0.35">
      <c r="A31" s="3"/>
    </row>
    <row r="32" spans="1:12" x14ac:dyDescent="0.35">
      <c r="A32" s="4" t="s">
        <v>37</v>
      </c>
    </row>
    <row r="33" spans="1:1" x14ac:dyDescent="0.35">
      <c r="A33" s="5" t="s">
        <v>38</v>
      </c>
    </row>
    <row r="34" spans="1:1" x14ac:dyDescent="0.35">
      <c r="A34" s="5" t="s">
        <v>39</v>
      </c>
    </row>
    <row r="35" spans="1:1" x14ac:dyDescent="0.35">
      <c r="A35" s="5" t="s">
        <v>40</v>
      </c>
    </row>
    <row r="36" spans="1:1" x14ac:dyDescent="0.35">
      <c r="A36" s="5" t="s">
        <v>41</v>
      </c>
    </row>
    <row r="37" spans="1:1" x14ac:dyDescent="0.35">
      <c r="A37" s="5" t="s">
        <v>42</v>
      </c>
    </row>
    <row r="38" spans="1:1" x14ac:dyDescent="0.35">
      <c r="A38" s="5" t="s">
        <v>43</v>
      </c>
    </row>
    <row r="39" spans="1:1" x14ac:dyDescent="0.35">
      <c r="A39" s="3"/>
    </row>
    <row r="40" spans="1:1" x14ac:dyDescent="0.35">
      <c r="A40" s="9" t="s">
        <v>44</v>
      </c>
    </row>
    <row r="41" spans="1:1" x14ac:dyDescent="0.35">
      <c r="A41" s="9" t="s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4BB4-294E-41E2-B93A-780CB76A4D94}">
  <dimension ref="A1:L27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7" sqref="A7"/>
    </sheetView>
  </sheetViews>
  <sheetFormatPr defaultColWidth="8.6328125" defaultRowHeight="14.5" x14ac:dyDescent="0.35"/>
  <cols>
    <col min="1" max="1" width="52" customWidth="1"/>
    <col min="2" max="12" width="15" customWidth="1"/>
  </cols>
  <sheetData>
    <row r="1" spans="1:12" ht="16.5" x14ac:dyDescent="0.35">
      <c r="A1" s="10" t="s">
        <v>0</v>
      </c>
    </row>
    <row r="2" spans="1:12" x14ac:dyDescent="0.35">
      <c r="A2" s="4" t="s">
        <v>97</v>
      </c>
    </row>
    <row r="3" spans="1:12" x14ac:dyDescent="0.35">
      <c r="A3" s="11" t="s">
        <v>47</v>
      </c>
    </row>
    <row r="5" spans="1:12" x14ac:dyDescent="0.35">
      <c r="A5" s="12" t="s">
        <v>48</v>
      </c>
      <c r="B5" s="13" t="s">
        <v>12</v>
      </c>
      <c r="C5" s="13" t="s">
        <v>13</v>
      </c>
      <c r="D5" s="13" t="s">
        <v>14</v>
      </c>
      <c r="E5" s="13" t="s">
        <v>15</v>
      </c>
      <c r="F5" s="13" t="s">
        <v>16</v>
      </c>
      <c r="G5" s="13" t="s">
        <v>17</v>
      </c>
      <c r="H5" s="13" t="s">
        <v>18</v>
      </c>
      <c r="I5" s="13" t="s">
        <v>19</v>
      </c>
      <c r="J5" s="13" t="s">
        <v>20</v>
      </c>
      <c r="K5" s="13" t="s">
        <v>21</v>
      </c>
      <c r="L5" s="13" t="s">
        <v>22</v>
      </c>
    </row>
    <row r="6" spans="1:12" x14ac:dyDescent="0.35">
      <c r="A6" s="14" t="s">
        <v>91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x14ac:dyDescent="0.35">
      <c r="A7" s="16" t="s">
        <v>23</v>
      </c>
      <c r="B7" s="22">
        <f>General!B7</f>
        <v>25599301</v>
      </c>
      <c r="C7" s="22">
        <f>General!C7</f>
        <v>33270812</v>
      </c>
      <c r="D7" s="22">
        <f>General!D7</f>
        <v>36965401</v>
      </c>
      <c r="E7" s="22">
        <f>General!E7</f>
        <v>35749416</v>
      </c>
      <c r="F7" s="22">
        <f>General!F7</f>
        <v>29661358</v>
      </c>
      <c r="G7" s="22">
        <f>General!G7</f>
        <v>24963852</v>
      </c>
      <c r="H7" s="22">
        <f>General!H7</f>
        <v>21761592</v>
      </c>
      <c r="I7" s="22">
        <f>General!I7</f>
        <v>21475952</v>
      </c>
      <c r="J7" s="22">
        <f>General!J7</f>
        <v>19012680</v>
      </c>
      <c r="K7" s="22">
        <f>General!K7</f>
        <v>22536992</v>
      </c>
      <c r="L7" s="22">
        <f>General!L7</f>
        <v>43685677.009999998</v>
      </c>
    </row>
    <row r="8" spans="1:12" x14ac:dyDescent="0.35">
      <c r="A8" s="16" t="s">
        <v>92</v>
      </c>
      <c r="B8" s="22">
        <f>PPEL!B7</f>
        <v>10745260</v>
      </c>
      <c r="C8" s="22">
        <f>PPEL!C7</f>
        <v>6751910</v>
      </c>
      <c r="D8" s="22">
        <f>PPEL!D7</f>
        <v>1507984</v>
      </c>
      <c r="E8" s="22">
        <f>PPEL!E7</f>
        <v>1569693</v>
      </c>
      <c r="F8" s="22">
        <f>PPEL!F7</f>
        <v>1488097</v>
      </c>
      <c r="G8" s="22">
        <f>PPEL!G7</f>
        <v>2096950</v>
      </c>
      <c r="H8" s="22">
        <f>PPEL!H7</f>
        <v>3013495</v>
      </c>
      <c r="I8" s="22">
        <f>PPEL!I7</f>
        <v>9862780</v>
      </c>
      <c r="J8" s="22">
        <f>PPEL!J7</f>
        <v>11936752</v>
      </c>
      <c r="K8" s="22">
        <f>PPEL!K7</f>
        <v>0</v>
      </c>
      <c r="L8" s="22">
        <f>PPEL!L7</f>
        <v>9749455.3200000003</v>
      </c>
    </row>
    <row r="9" spans="1:12" x14ac:dyDescent="0.35">
      <c r="A9" s="16" t="s">
        <v>26</v>
      </c>
      <c r="B9" s="22">
        <f>'Capital Projects'!B7</f>
        <v>8364423</v>
      </c>
      <c r="C9" s="22">
        <f>'Capital Projects'!C7</f>
        <v>24869975</v>
      </c>
      <c r="D9" s="22">
        <f>'Capital Projects'!D7</f>
        <v>6821801</v>
      </c>
      <c r="E9" s="22">
        <f>'Capital Projects'!E7</f>
        <v>6411450</v>
      </c>
      <c r="F9" s="22">
        <f>'Capital Projects'!F7</f>
        <v>0</v>
      </c>
      <c r="G9" s="22">
        <f>'Capital Projects'!G7</f>
        <v>0</v>
      </c>
      <c r="H9" s="22">
        <f>'Capital Projects'!H7</f>
        <v>0</v>
      </c>
      <c r="I9" s="22">
        <f>'Capital Projects'!I7</f>
        <v>0</v>
      </c>
      <c r="J9" s="22">
        <f>'Capital Projects'!J7</f>
        <v>0</v>
      </c>
      <c r="K9" s="22">
        <f>'Capital Projects'!K7</f>
        <v>29750724</v>
      </c>
      <c r="L9" s="22">
        <f>'Capital Projects'!L7</f>
        <v>9638851.6199999992</v>
      </c>
    </row>
    <row r="10" spans="1:12" x14ac:dyDescent="0.35">
      <c r="A10" s="16" t="s">
        <v>27</v>
      </c>
      <c r="B10" s="22">
        <f>'Debt Service'!B7</f>
        <v>0</v>
      </c>
      <c r="C10" s="22">
        <f>'Debt Service'!C7</f>
        <v>0</v>
      </c>
      <c r="D10" s="22">
        <f>'Debt Service'!D7</f>
        <v>0</v>
      </c>
      <c r="E10" s="22">
        <f>'Debt Service'!E7</f>
        <v>402793</v>
      </c>
      <c r="F10" s="22">
        <f>'Debt Service'!F7</f>
        <v>774465</v>
      </c>
      <c r="G10" s="22">
        <f>'Debt Service'!G7</f>
        <v>111836</v>
      </c>
      <c r="H10" s="22">
        <f>'Debt Service'!H7</f>
        <v>611235</v>
      </c>
      <c r="I10" s="22">
        <f>'Debt Service'!I7</f>
        <v>930982</v>
      </c>
      <c r="J10" s="22">
        <f>'Debt Service'!J7</f>
        <v>864511</v>
      </c>
      <c r="K10" s="22">
        <f>'Debt Service'!K7</f>
        <v>0</v>
      </c>
      <c r="L10" s="22">
        <f>'Debt Service'!L7</f>
        <v>150040.26</v>
      </c>
    </row>
    <row r="11" spans="1:12" x14ac:dyDescent="0.35">
      <c r="A11" s="16" t="s">
        <v>93</v>
      </c>
      <c r="B11" s="22">
        <f>'GO Bonds'!B7</f>
        <v>0</v>
      </c>
      <c r="C11" s="22">
        <f>'GO Bonds'!C7</f>
        <v>0</v>
      </c>
      <c r="D11" s="22">
        <f>'GO Bonds'!D7</f>
        <v>0</v>
      </c>
      <c r="E11" s="22">
        <f>'GO Bonds'!E7</f>
        <v>53638555</v>
      </c>
      <c r="F11" s="22">
        <f>'GO Bonds'!F7</f>
        <v>70679827</v>
      </c>
      <c r="G11" s="22">
        <f>'GO Bonds'!G7</f>
        <v>72977150</v>
      </c>
      <c r="H11" s="22">
        <f>'GO Bonds'!H7</f>
        <v>25455199</v>
      </c>
      <c r="I11" s="22">
        <f>'GO Bonds'!I7</f>
        <v>9241045</v>
      </c>
      <c r="J11" s="22">
        <f>'GO Bonds'!J7</f>
        <v>0</v>
      </c>
      <c r="K11" s="22">
        <f>'GO Bonds'!K7</f>
        <v>0</v>
      </c>
      <c r="L11" s="22">
        <f>'GO Bonds'!L7</f>
        <v>0</v>
      </c>
    </row>
    <row r="12" spans="1:12" x14ac:dyDescent="0.35">
      <c r="A12" s="16" t="s">
        <v>29</v>
      </c>
      <c r="B12" s="23">
        <f>'Management Levy'!B7</f>
        <v>0</v>
      </c>
      <c r="C12" s="23">
        <f>'Management Levy'!C7</f>
        <v>0</v>
      </c>
      <c r="D12" s="23">
        <f>'Management Levy'!D7</f>
        <v>0</v>
      </c>
      <c r="E12" s="23">
        <f>'Management Levy'!E7</f>
        <v>0</v>
      </c>
      <c r="F12" s="23">
        <f>'Management Levy'!F7</f>
        <v>0</v>
      </c>
      <c r="G12" s="23">
        <f>'Management Levy'!G7</f>
        <v>0</v>
      </c>
      <c r="H12" s="23">
        <f>'Management Levy'!H7</f>
        <v>0</v>
      </c>
      <c r="I12" s="23">
        <f>'Management Levy'!I7</f>
        <v>0</v>
      </c>
      <c r="J12" s="23">
        <f>'Management Levy'!J7</f>
        <v>0</v>
      </c>
      <c r="K12" s="23">
        <f>'Management Levy'!K7</f>
        <v>13077609</v>
      </c>
      <c r="L12" s="23">
        <f>'Management Levy'!L7</f>
        <v>5560131.4000000004</v>
      </c>
    </row>
    <row r="13" spans="1:12" x14ac:dyDescent="0.35">
      <c r="A13" s="24" t="s">
        <v>94</v>
      </c>
      <c r="B13" s="25">
        <f>Nonmajor!B7</f>
        <v>3353218</v>
      </c>
      <c r="C13" s="25">
        <f>Nonmajor!C7</f>
        <v>3373663</v>
      </c>
      <c r="D13" s="25">
        <f>Nonmajor!D7</f>
        <v>3448648</v>
      </c>
      <c r="E13" s="25">
        <f>Nonmajor!E7</f>
        <v>4041715</v>
      </c>
      <c r="F13" s="25">
        <f>Nonmajor!F7</f>
        <v>3610902</v>
      </c>
      <c r="G13" s="25">
        <f>Nonmajor!G7</f>
        <v>2440352</v>
      </c>
      <c r="H13" s="25">
        <f>Nonmajor!H7</f>
        <v>2899975</v>
      </c>
      <c r="I13" s="25">
        <f>Nonmajor!I7</f>
        <v>1742298</v>
      </c>
      <c r="J13" s="25">
        <f>Nonmajor!J7</f>
        <v>3827639</v>
      </c>
      <c r="K13" s="25">
        <f>Nonmajor!K7</f>
        <v>1873480</v>
      </c>
      <c r="L13" s="25">
        <f>Nonmajor!L7</f>
        <v>1009917.3</v>
      </c>
    </row>
    <row r="14" spans="1:12" x14ac:dyDescent="0.35">
      <c r="A14" s="16" t="s">
        <v>95</v>
      </c>
      <c r="B14" s="23">
        <f>'Total Governmental'!B7</f>
        <v>48062202</v>
      </c>
      <c r="C14" s="23">
        <f>'Total Governmental'!C7</f>
        <v>68266360</v>
      </c>
      <c r="D14" s="23">
        <f>'Total Governmental'!D7</f>
        <v>48743834</v>
      </c>
      <c r="E14" s="23">
        <f>'Total Governmental'!E7</f>
        <v>101813622</v>
      </c>
      <c r="F14" s="23">
        <f>'Total Governmental'!F7</f>
        <v>106214649</v>
      </c>
      <c r="G14" s="23">
        <f>'Total Governmental'!G7</f>
        <v>102590140</v>
      </c>
      <c r="H14" s="23">
        <f>'Total Governmental'!H7</f>
        <v>53741496</v>
      </c>
      <c r="I14" s="23">
        <f>'Total Governmental'!I7</f>
        <v>43253057</v>
      </c>
      <c r="J14" s="23">
        <f>'Total Governmental'!J7</f>
        <v>35641582</v>
      </c>
      <c r="K14" s="23">
        <f>'Total Governmental'!K7</f>
        <v>67238805</v>
      </c>
      <c r="L14" s="23">
        <f>'Total Governmental'!L7</f>
        <v>69794072.909999996</v>
      </c>
    </row>
    <row r="15" spans="1:12" x14ac:dyDescent="0.35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8" spans="1:12" x14ac:dyDescent="0.35">
      <c r="A18" s="12" t="s">
        <v>96</v>
      </c>
      <c r="B18" s="13" t="s">
        <v>12</v>
      </c>
      <c r="C18" s="13" t="s">
        <v>13</v>
      </c>
      <c r="D18" s="13" t="s">
        <v>14</v>
      </c>
      <c r="E18" s="13" t="s">
        <v>15</v>
      </c>
      <c r="F18" s="13" t="s">
        <v>16</v>
      </c>
      <c r="G18" s="13" t="s">
        <v>17</v>
      </c>
      <c r="H18" s="13" t="s">
        <v>18</v>
      </c>
      <c r="I18" s="13" t="s">
        <v>19</v>
      </c>
      <c r="J18" s="13" t="s">
        <v>20</v>
      </c>
      <c r="K18" s="13" t="s">
        <v>21</v>
      </c>
      <c r="L18" s="13" t="s">
        <v>22</v>
      </c>
    </row>
    <row r="19" spans="1:12" x14ac:dyDescent="0.35">
      <c r="A19" s="14" t="s">
        <v>91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x14ac:dyDescent="0.35">
      <c r="A20" s="16" t="s">
        <v>23</v>
      </c>
      <c r="B20" s="22"/>
      <c r="C20" s="22">
        <f>C7-B7</f>
        <v>7671511</v>
      </c>
      <c r="D20" s="22">
        <f>D7-C7</f>
        <v>3694589</v>
      </c>
      <c r="E20" s="22">
        <f>E7-D7</f>
        <v>-1215985</v>
      </c>
      <c r="F20" s="22">
        <f>F7-E7</f>
        <v>-6088058</v>
      </c>
      <c r="G20" s="22">
        <f>G7-F7</f>
        <v>-4697506</v>
      </c>
      <c r="H20" s="22">
        <f>H7-G7</f>
        <v>-3202260</v>
      </c>
      <c r="I20" s="22">
        <f>I7-H7</f>
        <v>-285640</v>
      </c>
      <c r="J20" s="22">
        <f>J7-I7</f>
        <v>-2463272</v>
      </c>
      <c r="K20" s="22">
        <f>K7-J7</f>
        <v>3524312</v>
      </c>
      <c r="L20" s="22">
        <f>L7-K7</f>
        <v>21148685.009999998</v>
      </c>
    </row>
    <row r="21" spans="1:12" x14ac:dyDescent="0.35">
      <c r="A21" s="16" t="s">
        <v>92</v>
      </c>
      <c r="B21" s="22"/>
      <c r="C21" s="22">
        <f t="shared" ref="C21:L21" si="0">C8-B8</f>
        <v>-3993350</v>
      </c>
      <c r="D21" s="22">
        <f t="shared" si="0"/>
        <v>-5243926</v>
      </c>
      <c r="E21" s="22">
        <f t="shared" si="0"/>
        <v>61709</v>
      </c>
      <c r="F21" s="22">
        <f t="shared" si="0"/>
        <v>-81596</v>
      </c>
      <c r="G21" s="22">
        <f t="shared" si="0"/>
        <v>608853</v>
      </c>
      <c r="H21" s="22">
        <f t="shared" si="0"/>
        <v>916545</v>
      </c>
      <c r="I21" s="22">
        <f t="shared" si="0"/>
        <v>6849285</v>
      </c>
      <c r="J21" s="22">
        <f t="shared" si="0"/>
        <v>2073972</v>
      </c>
      <c r="K21" s="22">
        <f t="shared" si="0"/>
        <v>-11936752</v>
      </c>
      <c r="L21" s="22">
        <f t="shared" si="0"/>
        <v>9749455.3200000003</v>
      </c>
    </row>
    <row r="22" spans="1:12" x14ac:dyDescent="0.35">
      <c r="A22" s="16" t="s">
        <v>26</v>
      </c>
      <c r="B22" s="22"/>
      <c r="C22" s="22">
        <f t="shared" ref="C22:L22" si="1">C9-B9</f>
        <v>16505552</v>
      </c>
      <c r="D22" s="22">
        <f t="shared" si="1"/>
        <v>-18048174</v>
      </c>
      <c r="E22" s="22">
        <f t="shared" si="1"/>
        <v>-410351</v>
      </c>
      <c r="F22" s="22">
        <f t="shared" si="1"/>
        <v>-6411450</v>
      </c>
      <c r="G22" s="22">
        <f t="shared" si="1"/>
        <v>0</v>
      </c>
      <c r="H22" s="22">
        <f t="shared" si="1"/>
        <v>0</v>
      </c>
      <c r="I22" s="22">
        <f t="shared" si="1"/>
        <v>0</v>
      </c>
      <c r="J22" s="22">
        <f t="shared" si="1"/>
        <v>0</v>
      </c>
      <c r="K22" s="22">
        <f t="shared" si="1"/>
        <v>29750724</v>
      </c>
      <c r="L22" s="22">
        <f t="shared" si="1"/>
        <v>-20111872.380000003</v>
      </c>
    </row>
    <row r="23" spans="1:12" x14ac:dyDescent="0.35">
      <c r="A23" s="16" t="s">
        <v>27</v>
      </c>
      <c r="B23" s="22"/>
      <c r="C23" s="22">
        <f t="shared" ref="C23:L23" si="2">C10-B10</f>
        <v>0</v>
      </c>
      <c r="D23" s="22">
        <f t="shared" si="2"/>
        <v>0</v>
      </c>
      <c r="E23" s="22">
        <f t="shared" si="2"/>
        <v>402793</v>
      </c>
      <c r="F23" s="22">
        <f t="shared" si="2"/>
        <v>371672</v>
      </c>
      <c r="G23" s="22">
        <f t="shared" si="2"/>
        <v>-662629</v>
      </c>
      <c r="H23" s="22">
        <f t="shared" si="2"/>
        <v>499399</v>
      </c>
      <c r="I23" s="22">
        <f t="shared" si="2"/>
        <v>319747</v>
      </c>
      <c r="J23" s="22">
        <f t="shared" si="2"/>
        <v>-66471</v>
      </c>
      <c r="K23" s="22">
        <f t="shared" si="2"/>
        <v>-864511</v>
      </c>
      <c r="L23" s="22">
        <f t="shared" si="2"/>
        <v>150040.26</v>
      </c>
    </row>
    <row r="24" spans="1:12" x14ac:dyDescent="0.35">
      <c r="A24" s="16" t="s">
        <v>93</v>
      </c>
      <c r="B24" s="22"/>
      <c r="C24" s="22">
        <f t="shared" ref="C24:L24" si="3">C11-B11</f>
        <v>0</v>
      </c>
      <c r="D24" s="22">
        <f t="shared" si="3"/>
        <v>0</v>
      </c>
      <c r="E24" s="22">
        <f t="shared" si="3"/>
        <v>53638555</v>
      </c>
      <c r="F24" s="22">
        <f t="shared" si="3"/>
        <v>17041272</v>
      </c>
      <c r="G24" s="22">
        <f t="shared" si="3"/>
        <v>2297323</v>
      </c>
      <c r="H24" s="22">
        <f t="shared" si="3"/>
        <v>-47521951</v>
      </c>
      <c r="I24" s="22">
        <f t="shared" si="3"/>
        <v>-16214154</v>
      </c>
      <c r="J24" s="22">
        <f t="shared" si="3"/>
        <v>-9241045</v>
      </c>
      <c r="K24" s="22">
        <f t="shared" si="3"/>
        <v>0</v>
      </c>
      <c r="L24" s="22">
        <f t="shared" si="3"/>
        <v>0</v>
      </c>
    </row>
    <row r="25" spans="1:12" x14ac:dyDescent="0.35">
      <c r="A25" s="16" t="s">
        <v>29</v>
      </c>
      <c r="B25" s="23"/>
      <c r="C25" s="23">
        <f t="shared" ref="C25:L25" si="4">C12-B12</f>
        <v>0</v>
      </c>
      <c r="D25" s="23">
        <f t="shared" si="4"/>
        <v>0</v>
      </c>
      <c r="E25" s="23">
        <f t="shared" si="4"/>
        <v>0</v>
      </c>
      <c r="F25" s="23">
        <f t="shared" si="4"/>
        <v>0</v>
      </c>
      <c r="G25" s="23">
        <f t="shared" si="4"/>
        <v>0</v>
      </c>
      <c r="H25" s="23">
        <f t="shared" si="4"/>
        <v>0</v>
      </c>
      <c r="I25" s="23">
        <f t="shared" si="4"/>
        <v>0</v>
      </c>
      <c r="J25" s="23">
        <f t="shared" si="4"/>
        <v>0</v>
      </c>
      <c r="K25" s="23">
        <f t="shared" si="4"/>
        <v>13077609</v>
      </c>
      <c r="L25" s="23">
        <f t="shared" si="4"/>
        <v>-7517477.5999999996</v>
      </c>
    </row>
    <row r="26" spans="1:12" x14ac:dyDescent="0.35">
      <c r="A26" s="24" t="s">
        <v>94</v>
      </c>
      <c r="B26" s="25"/>
      <c r="C26" s="25">
        <f t="shared" ref="C26:L26" si="5">C13-B13</f>
        <v>20445</v>
      </c>
      <c r="D26" s="25">
        <f t="shared" si="5"/>
        <v>74985</v>
      </c>
      <c r="E26" s="25">
        <f t="shared" si="5"/>
        <v>593067</v>
      </c>
      <c r="F26" s="25">
        <f t="shared" si="5"/>
        <v>-430813</v>
      </c>
      <c r="G26" s="25">
        <f t="shared" si="5"/>
        <v>-1170550</v>
      </c>
      <c r="H26" s="25">
        <f t="shared" si="5"/>
        <v>459623</v>
      </c>
      <c r="I26" s="25">
        <f t="shared" si="5"/>
        <v>-1157677</v>
      </c>
      <c r="J26" s="25">
        <f t="shared" si="5"/>
        <v>2085341</v>
      </c>
      <c r="K26" s="25">
        <f t="shared" si="5"/>
        <v>-1954159</v>
      </c>
      <c r="L26" s="25">
        <f t="shared" si="5"/>
        <v>-863562.7</v>
      </c>
    </row>
    <row r="27" spans="1:12" x14ac:dyDescent="0.35">
      <c r="A27" s="16" t="s">
        <v>95</v>
      </c>
      <c r="B27" s="23"/>
      <c r="C27" s="23">
        <f t="shared" ref="C27:L27" si="6">C14-B14</f>
        <v>20204158</v>
      </c>
      <c r="D27" s="23">
        <f t="shared" si="6"/>
        <v>-19522526</v>
      </c>
      <c r="E27" s="23">
        <f t="shared" si="6"/>
        <v>53069788</v>
      </c>
      <c r="F27" s="23">
        <f t="shared" si="6"/>
        <v>4401027</v>
      </c>
      <c r="G27" s="23">
        <f t="shared" si="6"/>
        <v>-3624509</v>
      </c>
      <c r="H27" s="23">
        <f t="shared" si="6"/>
        <v>-48848644</v>
      </c>
      <c r="I27" s="23">
        <f t="shared" si="6"/>
        <v>-10488439</v>
      </c>
      <c r="J27" s="23">
        <f t="shared" si="6"/>
        <v>-7611475</v>
      </c>
      <c r="K27" s="23">
        <f t="shared" si="6"/>
        <v>31597223</v>
      </c>
      <c r="L27" s="23">
        <f t="shared" si="6"/>
        <v>2555267.9099999964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5" sqref="A5:L7"/>
    </sheetView>
  </sheetViews>
  <sheetFormatPr defaultColWidth="8.6328125" defaultRowHeight="14.5" x14ac:dyDescent="0.35"/>
  <cols>
    <col min="1" max="1" width="52" customWidth="1"/>
    <col min="2" max="12" width="15" customWidth="1"/>
  </cols>
  <sheetData>
    <row r="1" spans="1:12" ht="16.5" x14ac:dyDescent="0.35">
      <c r="A1" s="10" t="s">
        <v>0</v>
      </c>
    </row>
    <row r="2" spans="1:12" x14ac:dyDescent="0.35">
      <c r="A2" s="4" t="s">
        <v>46</v>
      </c>
    </row>
    <row r="3" spans="1:12" x14ac:dyDescent="0.35">
      <c r="A3" s="11" t="s">
        <v>47</v>
      </c>
    </row>
    <row r="5" spans="1:12" x14ac:dyDescent="0.35">
      <c r="A5" s="12" t="s">
        <v>48</v>
      </c>
      <c r="B5" s="13" t="s">
        <v>12</v>
      </c>
      <c r="C5" s="13" t="s">
        <v>13</v>
      </c>
      <c r="D5" s="13" t="s">
        <v>14</v>
      </c>
      <c r="E5" s="13" t="s">
        <v>15</v>
      </c>
      <c r="F5" s="13" t="s">
        <v>16</v>
      </c>
      <c r="G5" s="13" t="s">
        <v>17</v>
      </c>
      <c r="H5" s="13" t="s">
        <v>18</v>
      </c>
      <c r="I5" s="13" t="s">
        <v>19</v>
      </c>
      <c r="J5" s="13" t="s">
        <v>20</v>
      </c>
      <c r="K5" s="13" t="s">
        <v>21</v>
      </c>
      <c r="L5" s="13" t="s">
        <v>22</v>
      </c>
    </row>
    <row r="6" spans="1:12" x14ac:dyDescent="0.35">
      <c r="A6" s="14" t="s">
        <v>49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x14ac:dyDescent="0.35">
      <c r="A7" s="16" t="s">
        <v>50</v>
      </c>
      <c r="B7" s="17">
        <v>25599301</v>
      </c>
      <c r="C7" s="17">
        <v>33270812</v>
      </c>
      <c r="D7" s="17">
        <v>36965401</v>
      </c>
      <c r="E7" s="17">
        <v>35749416</v>
      </c>
      <c r="F7" s="17">
        <v>29661358</v>
      </c>
      <c r="G7" s="17">
        <v>24963852</v>
      </c>
      <c r="H7" s="17">
        <v>21761592</v>
      </c>
      <c r="I7" s="17">
        <v>21475952</v>
      </c>
      <c r="J7" s="17">
        <v>19012680</v>
      </c>
      <c r="K7" s="17">
        <v>22536992</v>
      </c>
      <c r="L7" s="17">
        <v>43685677.009999998</v>
      </c>
    </row>
    <row r="8" spans="1:12" x14ac:dyDescent="0.35">
      <c r="A8" s="16" t="s">
        <v>51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x14ac:dyDescent="0.35">
      <c r="A9" s="16" t="s">
        <v>52</v>
      </c>
      <c r="B9" s="17">
        <v>232369</v>
      </c>
      <c r="C9" s="17">
        <v>200376</v>
      </c>
      <c r="D9" s="17">
        <v>172824</v>
      </c>
      <c r="E9" s="17">
        <v>248698</v>
      </c>
      <c r="F9" s="17">
        <v>226346</v>
      </c>
      <c r="G9" s="17">
        <v>419384</v>
      </c>
      <c r="H9" s="17">
        <v>560338</v>
      </c>
      <c r="I9" s="17">
        <v>234203</v>
      </c>
      <c r="J9" s="17">
        <v>366102</v>
      </c>
      <c r="K9" s="17">
        <v>429762</v>
      </c>
      <c r="L9" s="17">
        <v>379454.26</v>
      </c>
    </row>
    <row r="10" spans="1:12" x14ac:dyDescent="0.35">
      <c r="A10" s="16" t="s">
        <v>53</v>
      </c>
      <c r="B10" s="17">
        <v>56420267</v>
      </c>
      <c r="C10" s="17">
        <v>60238767</v>
      </c>
      <c r="D10" s="17">
        <v>62483923</v>
      </c>
      <c r="E10" s="17">
        <v>63927908</v>
      </c>
      <c r="F10" s="17">
        <v>65789035</v>
      </c>
      <c r="G10" s="17">
        <v>72666630</v>
      </c>
      <c r="H10" s="17">
        <v>72389732</v>
      </c>
      <c r="I10" s="17">
        <v>74768537</v>
      </c>
      <c r="J10" s="17">
        <v>75474753</v>
      </c>
      <c r="K10" s="17">
        <v>84046760</v>
      </c>
      <c r="L10" s="17">
        <v>83672536.810000002</v>
      </c>
    </row>
    <row r="11" spans="1:12" x14ac:dyDescent="0.35">
      <c r="A11" s="16" t="s">
        <v>54</v>
      </c>
      <c r="B11" s="17">
        <v>6270674</v>
      </c>
      <c r="C11" s="17">
        <v>6393586</v>
      </c>
      <c r="D11" s="17">
        <v>6816288</v>
      </c>
      <c r="E11" s="17">
        <v>6820672</v>
      </c>
      <c r="F11" s="17">
        <v>7117360</v>
      </c>
      <c r="G11" s="17">
        <v>7403410</v>
      </c>
      <c r="H11" s="17">
        <v>6692192</v>
      </c>
      <c r="I11" s="17">
        <v>7824520</v>
      </c>
      <c r="J11" s="17">
        <v>7976285</v>
      </c>
      <c r="K11" s="17">
        <v>6986431</v>
      </c>
      <c r="L11" s="17">
        <v>7070437</v>
      </c>
    </row>
    <row r="12" spans="1:12" x14ac:dyDescent="0.35">
      <c r="A12" s="16" t="s">
        <v>55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x14ac:dyDescent="0.35">
      <c r="A13" s="16" t="s">
        <v>56</v>
      </c>
      <c r="B13" s="17">
        <v>786056</v>
      </c>
      <c r="C13" s="17">
        <v>173561</v>
      </c>
      <c r="D13" s="17">
        <v>147116</v>
      </c>
      <c r="E13" s="17">
        <v>343272</v>
      </c>
      <c r="F13" s="17">
        <v>702720</v>
      </c>
      <c r="G13" s="17">
        <v>2155541</v>
      </c>
      <c r="H13" s="17">
        <v>996184</v>
      </c>
      <c r="I13" s="17">
        <v>223250</v>
      </c>
      <c r="J13" s="17">
        <v>641083</v>
      </c>
      <c r="K13" s="17">
        <v>385129</v>
      </c>
      <c r="L13" s="17">
        <v>513783.4</v>
      </c>
    </row>
    <row r="14" spans="1:12" x14ac:dyDescent="0.35">
      <c r="A14" s="16" t="s">
        <v>57</v>
      </c>
      <c r="B14" s="17">
        <v>2148465</v>
      </c>
      <c r="C14" s="17">
        <v>1978107</v>
      </c>
      <c r="D14" s="17">
        <v>1966701</v>
      </c>
      <c r="E14" s="17">
        <v>1988224</v>
      </c>
      <c r="F14" s="17">
        <v>2373369</v>
      </c>
      <c r="G14" s="17">
        <v>2252396</v>
      </c>
      <c r="H14" s="17">
        <v>10458625</v>
      </c>
      <c r="I14" s="17">
        <v>7722440</v>
      </c>
      <c r="J14" s="17">
        <v>14223011</v>
      </c>
      <c r="K14" s="17">
        <v>5626319</v>
      </c>
      <c r="L14" s="17">
        <v>2568339.98</v>
      </c>
    </row>
    <row r="15" spans="1:12" x14ac:dyDescent="0.35">
      <c r="A15" s="16" t="s">
        <v>58</v>
      </c>
      <c r="B15" s="17">
        <v>1329952</v>
      </c>
      <c r="C15" s="17">
        <v>11132</v>
      </c>
      <c r="D15" s="17">
        <v>750616</v>
      </c>
      <c r="E15" s="17">
        <v>93140</v>
      </c>
      <c r="F15" s="17">
        <v>27801</v>
      </c>
      <c r="G15" s="17">
        <v>275994</v>
      </c>
      <c r="H15" s="17">
        <v>150423</v>
      </c>
      <c r="I15" s="17">
        <v>177298</v>
      </c>
      <c r="J15" s="17">
        <v>156679</v>
      </c>
      <c r="K15" s="17">
        <v>29093296</v>
      </c>
      <c r="L15" s="17">
        <v>974445.71</v>
      </c>
    </row>
    <row r="16" spans="1:12" x14ac:dyDescent="0.35">
      <c r="A16" s="16" t="s">
        <v>59</v>
      </c>
      <c r="B16" s="17">
        <v>1095801</v>
      </c>
      <c r="C16" s="17">
        <v>1127628</v>
      </c>
      <c r="D16" s="17">
        <v>1251954</v>
      </c>
      <c r="E16" s="17">
        <v>1395556</v>
      </c>
      <c r="F16" s="17">
        <v>1472184</v>
      </c>
      <c r="G16" s="17">
        <v>1552575</v>
      </c>
      <c r="H16" s="17">
        <v>1317074</v>
      </c>
      <c r="I16" s="17">
        <v>1738981</v>
      </c>
      <c r="J16" s="17">
        <v>1702154</v>
      </c>
      <c r="K16" s="17">
        <v>67836</v>
      </c>
      <c r="L16" s="17">
        <v>1276719.8</v>
      </c>
    </row>
    <row r="17" spans="1:12" x14ac:dyDescent="0.35">
      <c r="A17" s="18" t="s">
        <v>60</v>
      </c>
      <c r="B17" s="19">
        <f t="shared" ref="B17:L17" si="0">B7+B8+B9+B10+B11+B12+B13+B14+B15+B16</f>
        <v>93882885</v>
      </c>
      <c r="C17" s="19">
        <f t="shared" si="0"/>
        <v>103393969</v>
      </c>
      <c r="D17" s="19">
        <f t="shared" si="0"/>
        <v>110554823</v>
      </c>
      <c r="E17" s="19">
        <f t="shared" si="0"/>
        <v>110566886</v>
      </c>
      <c r="F17" s="19">
        <f t="shared" si="0"/>
        <v>107370173</v>
      </c>
      <c r="G17" s="19">
        <f t="shared" si="0"/>
        <v>111689782</v>
      </c>
      <c r="H17" s="19">
        <f t="shared" si="0"/>
        <v>114326160</v>
      </c>
      <c r="I17" s="19">
        <f t="shared" si="0"/>
        <v>114165181</v>
      </c>
      <c r="J17" s="19">
        <f t="shared" si="0"/>
        <v>119552747</v>
      </c>
      <c r="K17" s="19">
        <f t="shared" si="0"/>
        <v>149172525</v>
      </c>
      <c r="L17" s="19">
        <f t="shared" si="0"/>
        <v>140141393.97</v>
      </c>
    </row>
    <row r="18" spans="1:12" x14ac:dyDescent="0.35">
      <c r="A18" s="14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35">
      <c r="A19" s="16" t="s">
        <v>62</v>
      </c>
      <c r="B19" s="17">
        <v>2013166</v>
      </c>
      <c r="C19" s="17">
        <v>1895636</v>
      </c>
      <c r="D19" s="17">
        <v>2636705</v>
      </c>
      <c r="E19" s="17">
        <v>2776112</v>
      </c>
      <c r="F19" s="17">
        <v>2061443</v>
      </c>
      <c r="G19" s="17">
        <v>2416119</v>
      </c>
      <c r="H19" s="17">
        <v>1763278</v>
      </c>
      <c r="I19" s="17">
        <v>1933142</v>
      </c>
      <c r="J19" s="17">
        <v>1431069</v>
      </c>
      <c r="K19" s="17">
        <v>1735139</v>
      </c>
      <c r="L19" s="17">
        <v>3121264.58</v>
      </c>
    </row>
    <row r="20" spans="1:12" x14ac:dyDescent="0.35">
      <c r="A20" s="16" t="s">
        <v>63</v>
      </c>
      <c r="B20" s="17">
        <v>13190317</v>
      </c>
      <c r="C20" s="17">
        <v>13706046</v>
      </c>
      <c r="D20" s="17">
        <v>14762330</v>
      </c>
      <c r="E20" s="17">
        <v>15908169</v>
      </c>
      <c r="F20" s="17">
        <v>17455439</v>
      </c>
      <c r="G20" s="17">
        <v>16465994</v>
      </c>
      <c r="H20" s="17">
        <v>17373534</v>
      </c>
      <c r="I20" s="17">
        <v>19286079</v>
      </c>
      <c r="J20" s="17">
        <v>19887707</v>
      </c>
      <c r="K20" s="17">
        <v>17190017</v>
      </c>
      <c r="L20" s="17">
        <v>26795467.690000001</v>
      </c>
    </row>
    <row r="21" spans="1:12" x14ac:dyDescent="0.35">
      <c r="A21" s="16" t="s">
        <v>64</v>
      </c>
      <c r="B21" s="17">
        <v>2552</v>
      </c>
      <c r="C21" s="17">
        <v>661001</v>
      </c>
      <c r="D21" s="17">
        <v>10572</v>
      </c>
      <c r="E21" s="17">
        <v>8086</v>
      </c>
      <c r="F21" s="17">
        <v>17064</v>
      </c>
      <c r="G21" s="17">
        <v>29976</v>
      </c>
      <c r="H21" s="17">
        <v>22924</v>
      </c>
      <c r="I21" s="17">
        <v>71144</v>
      </c>
      <c r="J21" s="17">
        <v>1000000</v>
      </c>
      <c r="K21" s="17">
        <v>20073735</v>
      </c>
      <c r="L21" s="17"/>
    </row>
    <row r="22" spans="1:12" x14ac:dyDescent="0.35">
      <c r="A22" s="16" t="s">
        <v>65</v>
      </c>
      <c r="B22" s="17"/>
      <c r="C22" s="17"/>
      <c r="D22" s="17"/>
      <c r="E22" s="17"/>
      <c r="F22" s="17"/>
      <c r="G22" s="17">
        <v>3120</v>
      </c>
      <c r="H22" s="17"/>
      <c r="I22" s="17"/>
      <c r="J22" s="17"/>
      <c r="K22" s="17"/>
      <c r="L22" s="17"/>
    </row>
    <row r="23" spans="1:12" x14ac:dyDescent="0.35">
      <c r="A23" s="16" t="s">
        <v>66</v>
      </c>
      <c r="B23" s="17">
        <v>41627</v>
      </c>
      <c r="C23" s="17">
        <v>68582</v>
      </c>
      <c r="D23" s="17">
        <v>11900</v>
      </c>
      <c r="E23" s="17">
        <v>14516</v>
      </c>
      <c r="F23" s="17">
        <v>29788</v>
      </c>
      <c r="G23" s="17">
        <v>1464393</v>
      </c>
      <c r="H23" s="17">
        <v>194350</v>
      </c>
      <c r="I23" s="17">
        <v>218705</v>
      </c>
      <c r="J23" s="17">
        <v>1306772</v>
      </c>
      <c r="K23" s="17"/>
      <c r="L23" s="17"/>
    </row>
    <row r="24" spans="1:12" x14ac:dyDescent="0.35">
      <c r="A24" s="18" t="s">
        <v>67</v>
      </c>
      <c r="B24" s="19">
        <f t="shared" ref="B24:L24" si="1">B19+B20+B21+B22+B23</f>
        <v>15247662</v>
      </c>
      <c r="C24" s="19">
        <f t="shared" si="1"/>
        <v>16331265</v>
      </c>
      <c r="D24" s="19">
        <f t="shared" si="1"/>
        <v>17421507</v>
      </c>
      <c r="E24" s="19">
        <f t="shared" si="1"/>
        <v>18706883</v>
      </c>
      <c r="F24" s="19">
        <f t="shared" si="1"/>
        <v>19563734</v>
      </c>
      <c r="G24" s="19">
        <f t="shared" si="1"/>
        <v>20379602</v>
      </c>
      <c r="H24" s="19">
        <f t="shared" si="1"/>
        <v>19354086</v>
      </c>
      <c r="I24" s="19">
        <f t="shared" si="1"/>
        <v>21509070</v>
      </c>
      <c r="J24" s="19">
        <f t="shared" si="1"/>
        <v>23625548</v>
      </c>
      <c r="K24" s="19">
        <f t="shared" si="1"/>
        <v>38998891</v>
      </c>
      <c r="L24" s="19">
        <f t="shared" si="1"/>
        <v>29916732.270000003</v>
      </c>
    </row>
    <row r="25" spans="1:12" x14ac:dyDescent="0.35">
      <c r="A25" s="14" t="s">
        <v>68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x14ac:dyDescent="0.35">
      <c r="A26" s="16" t="s">
        <v>69</v>
      </c>
      <c r="B26" s="17">
        <v>56420267</v>
      </c>
      <c r="C26" s="17">
        <v>60238767</v>
      </c>
      <c r="D26" s="17">
        <v>62483923</v>
      </c>
      <c r="E26" s="17">
        <v>63927908</v>
      </c>
      <c r="F26" s="17">
        <v>65789035</v>
      </c>
      <c r="G26" s="17">
        <v>72666630</v>
      </c>
      <c r="H26" s="17">
        <v>72389732</v>
      </c>
      <c r="I26" s="17">
        <v>74768537</v>
      </c>
      <c r="J26" s="17">
        <v>75474753</v>
      </c>
      <c r="K26" s="17">
        <v>84046760</v>
      </c>
      <c r="L26" s="17">
        <v>83672536.810000002</v>
      </c>
    </row>
    <row r="27" spans="1:12" x14ac:dyDescent="0.35">
      <c r="A27" s="16" t="s">
        <v>70</v>
      </c>
      <c r="B27" s="17">
        <v>6270674</v>
      </c>
      <c r="C27" s="17">
        <v>6393586</v>
      </c>
      <c r="D27" s="17">
        <v>6816288</v>
      </c>
      <c r="E27" s="17">
        <v>6820672</v>
      </c>
      <c r="F27" s="17">
        <v>7117360</v>
      </c>
      <c r="G27" s="17">
        <v>7403410</v>
      </c>
      <c r="H27" s="17">
        <v>6692192</v>
      </c>
      <c r="I27" s="17">
        <v>7824520</v>
      </c>
      <c r="J27" s="17">
        <v>7976285</v>
      </c>
      <c r="K27" s="17">
        <v>6986431</v>
      </c>
      <c r="L27" s="17">
        <v>7070437</v>
      </c>
    </row>
    <row r="28" spans="1:12" x14ac:dyDescent="0.35">
      <c r="A28" s="16" t="s">
        <v>71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 x14ac:dyDescent="0.35">
      <c r="A29" s="16" t="s">
        <v>72</v>
      </c>
      <c r="B29" s="17"/>
      <c r="C29" s="17"/>
      <c r="D29" s="17"/>
      <c r="E29" s="17"/>
      <c r="F29" s="17"/>
      <c r="G29" s="17"/>
      <c r="H29" s="17"/>
      <c r="I29" s="17"/>
      <c r="J29" s="17">
        <v>2324940</v>
      </c>
      <c r="K29" s="17"/>
      <c r="L29" s="17"/>
    </row>
    <row r="30" spans="1:12" x14ac:dyDescent="0.35">
      <c r="A30" s="16" t="s">
        <v>73</v>
      </c>
      <c r="B30" s="17"/>
      <c r="C30" s="17"/>
      <c r="D30" s="17"/>
      <c r="E30" s="17"/>
      <c r="F30" s="17"/>
      <c r="G30" s="17"/>
      <c r="H30" s="17"/>
      <c r="I30" s="17"/>
      <c r="J30" s="17"/>
      <c r="K30" s="17">
        <v>87390</v>
      </c>
      <c r="L30" s="17">
        <v>1188013.08</v>
      </c>
    </row>
    <row r="31" spans="1:12" x14ac:dyDescent="0.35">
      <c r="A31" s="18" t="s">
        <v>74</v>
      </c>
      <c r="B31" s="19">
        <f t="shared" ref="B31:L31" si="2">B26+B27+B28+B29+B30</f>
        <v>62690941</v>
      </c>
      <c r="C31" s="19">
        <f t="shared" si="2"/>
        <v>66632353</v>
      </c>
      <c r="D31" s="19">
        <f t="shared" si="2"/>
        <v>69300211</v>
      </c>
      <c r="E31" s="19">
        <f t="shared" si="2"/>
        <v>70748580</v>
      </c>
      <c r="F31" s="19">
        <f t="shared" si="2"/>
        <v>72906395</v>
      </c>
      <c r="G31" s="19">
        <f t="shared" si="2"/>
        <v>80070040</v>
      </c>
      <c r="H31" s="19">
        <f t="shared" si="2"/>
        <v>79081924</v>
      </c>
      <c r="I31" s="19">
        <f t="shared" si="2"/>
        <v>82593057</v>
      </c>
      <c r="J31" s="19">
        <f t="shared" si="2"/>
        <v>85775978</v>
      </c>
      <c r="K31" s="19">
        <f t="shared" si="2"/>
        <v>91120581</v>
      </c>
      <c r="L31" s="19">
        <f t="shared" si="2"/>
        <v>91930986.890000001</v>
      </c>
    </row>
    <row r="32" spans="1:12" x14ac:dyDescent="0.35">
      <c r="A32" s="14" t="s">
        <v>75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x14ac:dyDescent="0.35">
      <c r="A33" s="16" t="s">
        <v>76</v>
      </c>
      <c r="B33" s="17">
        <v>1095801</v>
      </c>
      <c r="C33" s="17">
        <v>1127628</v>
      </c>
      <c r="D33" s="17">
        <v>1251954</v>
      </c>
      <c r="E33" s="17">
        <v>1395556</v>
      </c>
      <c r="F33" s="17">
        <v>1472184</v>
      </c>
      <c r="G33" s="17">
        <v>1552575</v>
      </c>
      <c r="H33" s="17">
        <v>1316399</v>
      </c>
      <c r="I33" s="17">
        <v>1738981</v>
      </c>
      <c r="J33" s="17">
        <v>1702154</v>
      </c>
      <c r="K33" s="17">
        <v>67836</v>
      </c>
      <c r="L33" s="17">
        <v>1276719.8</v>
      </c>
    </row>
    <row r="34" spans="1:12" x14ac:dyDescent="0.35">
      <c r="A34" s="16" t="s">
        <v>77</v>
      </c>
      <c r="B34" s="17">
        <v>3303867</v>
      </c>
      <c r="C34" s="17">
        <v>3963463</v>
      </c>
      <c r="D34" s="17">
        <v>4030600</v>
      </c>
      <c r="E34" s="17">
        <v>2478299</v>
      </c>
      <c r="F34" s="17">
        <v>2157358</v>
      </c>
      <c r="G34" s="17">
        <v>2811326</v>
      </c>
      <c r="H34" s="17">
        <v>2920281</v>
      </c>
      <c r="I34" s="17">
        <v>2967523</v>
      </c>
      <c r="J34" s="17">
        <v>3488724</v>
      </c>
      <c r="K34" s="17">
        <v>2703361</v>
      </c>
      <c r="L34" s="17">
        <v>4745545.28</v>
      </c>
    </row>
    <row r="35" spans="1:12" x14ac:dyDescent="0.35">
      <c r="A35" s="16" t="s">
        <v>78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35">
      <c r="A36" s="16" t="s">
        <v>79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x14ac:dyDescent="0.35">
      <c r="A37" s="16" t="s">
        <v>80</v>
      </c>
      <c r="B37" s="17">
        <v>11544614</v>
      </c>
      <c r="C37" s="17">
        <v>15339260</v>
      </c>
      <c r="D37" s="17">
        <v>18550551</v>
      </c>
      <c r="E37" s="17">
        <v>17237568</v>
      </c>
      <c r="F37" s="17">
        <v>11270502</v>
      </c>
      <c r="G37" s="17">
        <v>6876239</v>
      </c>
      <c r="H37" s="17">
        <v>11653470</v>
      </c>
      <c r="I37" s="17">
        <v>5356550</v>
      </c>
      <c r="J37" s="17">
        <v>4960343</v>
      </c>
      <c r="K37" s="17">
        <v>16281856</v>
      </c>
      <c r="L37" s="17">
        <v>12271409.73</v>
      </c>
    </row>
    <row r="38" spans="1:12" x14ac:dyDescent="0.35">
      <c r="A38" s="18" t="s">
        <v>81</v>
      </c>
      <c r="B38" s="19">
        <f t="shared" ref="B38:L38" si="3">B33+B34+B35+B36+B37</f>
        <v>15944282</v>
      </c>
      <c r="C38" s="19">
        <f t="shared" si="3"/>
        <v>20430351</v>
      </c>
      <c r="D38" s="19">
        <f t="shared" si="3"/>
        <v>23833105</v>
      </c>
      <c r="E38" s="19">
        <f t="shared" si="3"/>
        <v>21111423</v>
      </c>
      <c r="F38" s="19">
        <f t="shared" si="3"/>
        <v>14900044</v>
      </c>
      <c r="G38" s="19">
        <f t="shared" si="3"/>
        <v>11240140</v>
      </c>
      <c r="H38" s="19">
        <f t="shared" si="3"/>
        <v>15890150</v>
      </c>
      <c r="I38" s="19">
        <f t="shared" si="3"/>
        <v>10063054</v>
      </c>
      <c r="J38" s="19">
        <f t="shared" si="3"/>
        <v>10151221</v>
      </c>
      <c r="K38" s="19">
        <f t="shared" si="3"/>
        <v>19053053</v>
      </c>
      <c r="L38" s="19">
        <f t="shared" si="3"/>
        <v>18293674.810000002</v>
      </c>
    </row>
    <row r="39" spans="1:12" x14ac:dyDescent="0.35">
      <c r="A39" s="18" t="s">
        <v>82</v>
      </c>
      <c r="B39" s="19">
        <f t="shared" ref="B39:L39" si="4">B24+B31+B38</f>
        <v>93882885</v>
      </c>
      <c r="C39" s="19">
        <f t="shared" si="4"/>
        <v>103393969</v>
      </c>
      <c r="D39" s="19">
        <f t="shared" si="4"/>
        <v>110554823</v>
      </c>
      <c r="E39" s="19">
        <f t="shared" si="4"/>
        <v>110566886</v>
      </c>
      <c r="F39" s="19">
        <f t="shared" si="4"/>
        <v>107370173</v>
      </c>
      <c r="G39" s="19">
        <f t="shared" si="4"/>
        <v>111689782</v>
      </c>
      <c r="H39" s="19">
        <f t="shared" si="4"/>
        <v>114326160</v>
      </c>
      <c r="I39" s="19">
        <f t="shared" si="4"/>
        <v>114165181</v>
      </c>
      <c r="J39" s="19">
        <f t="shared" si="4"/>
        <v>119552747</v>
      </c>
      <c r="K39" s="19">
        <f t="shared" si="4"/>
        <v>149172525</v>
      </c>
      <c r="L39" s="19">
        <f t="shared" si="4"/>
        <v>140141393.97</v>
      </c>
    </row>
    <row r="41" spans="1:12" x14ac:dyDescent="0.35">
      <c r="A41" s="20" t="s">
        <v>83</v>
      </c>
      <c r="B41" s="21">
        <f t="shared" ref="B41:L41" si="5">B17-B39</f>
        <v>0</v>
      </c>
      <c r="C41" s="21">
        <f t="shared" si="5"/>
        <v>0</v>
      </c>
      <c r="D41" s="21">
        <f t="shared" si="5"/>
        <v>0</v>
      </c>
      <c r="E41" s="21">
        <f t="shared" si="5"/>
        <v>0</v>
      </c>
      <c r="F41" s="21">
        <f t="shared" si="5"/>
        <v>0</v>
      </c>
      <c r="G41" s="21">
        <f t="shared" si="5"/>
        <v>0</v>
      </c>
      <c r="H41" s="21">
        <f t="shared" si="5"/>
        <v>0</v>
      </c>
      <c r="I41" s="21">
        <f t="shared" si="5"/>
        <v>0</v>
      </c>
      <c r="J41" s="21">
        <f t="shared" si="5"/>
        <v>0</v>
      </c>
      <c r="K41" s="21">
        <f t="shared" si="5"/>
        <v>0</v>
      </c>
      <c r="L41" s="21">
        <f t="shared" si="5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1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52" customWidth="1"/>
    <col min="2" max="12" width="15" customWidth="1"/>
  </cols>
  <sheetData>
    <row r="1" spans="1:12" ht="16.5" x14ac:dyDescent="0.35">
      <c r="A1" s="10" t="s">
        <v>0</v>
      </c>
    </row>
    <row r="2" spans="1:12" x14ac:dyDescent="0.35">
      <c r="A2" s="4" t="s">
        <v>46</v>
      </c>
    </row>
    <row r="3" spans="1:12" x14ac:dyDescent="0.35">
      <c r="A3" s="11" t="s">
        <v>84</v>
      </c>
    </row>
    <row r="5" spans="1:12" x14ac:dyDescent="0.35">
      <c r="A5" s="12" t="s">
        <v>48</v>
      </c>
      <c r="B5" s="13" t="s">
        <v>12</v>
      </c>
      <c r="C5" s="13" t="s">
        <v>13</v>
      </c>
      <c r="D5" s="13" t="s">
        <v>14</v>
      </c>
      <c r="E5" s="13" t="s">
        <v>15</v>
      </c>
      <c r="F5" s="13" t="s">
        <v>16</v>
      </c>
      <c r="G5" s="13" t="s">
        <v>17</v>
      </c>
      <c r="H5" s="13" t="s">
        <v>18</v>
      </c>
      <c r="I5" s="13" t="s">
        <v>19</v>
      </c>
      <c r="J5" s="13" t="s">
        <v>20</v>
      </c>
      <c r="K5" s="13" t="s">
        <v>21</v>
      </c>
      <c r="L5" s="13" t="s">
        <v>22</v>
      </c>
    </row>
    <row r="6" spans="1:12" x14ac:dyDescent="0.35">
      <c r="A6" s="14" t="s">
        <v>49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x14ac:dyDescent="0.35">
      <c r="A7" s="16" t="s">
        <v>50</v>
      </c>
      <c r="B7" s="17">
        <v>10745260</v>
      </c>
      <c r="C7" s="17">
        <v>6751910</v>
      </c>
      <c r="D7" s="17">
        <v>1507984</v>
      </c>
      <c r="E7" s="17">
        <v>1569693</v>
      </c>
      <c r="F7" s="17">
        <v>1488097</v>
      </c>
      <c r="G7" s="17">
        <v>2096950</v>
      </c>
      <c r="H7" s="17">
        <v>3013495</v>
      </c>
      <c r="I7" s="17">
        <v>9862780</v>
      </c>
      <c r="J7" s="17">
        <v>11936752</v>
      </c>
      <c r="K7" s="17"/>
      <c r="L7" s="17">
        <v>9749455.3200000003</v>
      </c>
    </row>
    <row r="8" spans="1:12" x14ac:dyDescent="0.35">
      <c r="A8" s="16" t="s">
        <v>51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x14ac:dyDescent="0.35">
      <c r="A9" s="16" t="s">
        <v>52</v>
      </c>
      <c r="B9" s="17">
        <v>37806</v>
      </c>
      <c r="C9" s="17">
        <v>30974</v>
      </c>
      <c r="D9" s="17">
        <v>28685</v>
      </c>
      <c r="E9" s="17">
        <v>39712</v>
      </c>
      <c r="F9" s="17">
        <v>38136</v>
      </c>
      <c r="G9" s="17">
        <v>106997</v>
      </c>
      <c r="H9" s="17">
        <v>96227</v>
      </c>
      <c r="I9" s="17">
        <v>39784</v>
      </c>
      <c r="J9" s="17">
        <v>62119</v>
      </c>
      <c r="K9" s="17"/>
      <c r="L9" s="17">
        <v>63635.51</v>
      </c>
    </row>
    <row r="10" spans="1:12" x14ac:dyDescent="0.35">
      <c r="A10" s="16" t="s">
        <v>53</v>
      </c>
      <c r="B10" s="17">
        <v>9352796</v>
      </c>
      <c r="C10" s="17">
        <v>9984079</v>
      </c>
      <c r="D10" s="17">
        <v>10403078</v>
      </c>
      <c r="E10" s="17">
        <v>10927163</v>
      </c>
      <c r="F10" s="17">
        <v>11411909</v>
      </c>
      <c r="G10" s="17">
        <v>12105274</v>
      </c>
      <c r="H10" s="17">
        <v>12507850</v>
      </c>
      <c r="I10" s="17">
        <v>12577125</v>
      </c>
      <c r="J10" s="17">
        <v>12500586</v>
      </c>
      <c r="K10" s="17"/>
      <c r="L10" s="17">
        <v>13043374.869999999</v>
      </c>
    </row>
    <row r="11" spans="1:12" x14ac:dyDescent="0.35">
      <c r="A11" s="16" t="s">
        <v>54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x14ac:dyDescent="0.35">
      <c r="A12" s="16" t="s">
        <v>55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x14ac:dyDescent="0.35">
      <c r="A13" s="16" t="s">
        <v>56</v>
      </c>
      <c r="B13" s="17"/>
      <c r="C13" s="17"/>
      <c r="D13" s="17"/>
      <c r="E13" s="17"/>
      <c r="F13" s="17"/>
      <c r="G13" s="17"/>
      <c r="H13" s="17"/>
      <c r="I13" s="17">
        <v>93988</v>
      </c>
      <c r="J13" s="17"/>
      <c r="K13" s="17"/>
      <c r="L13" s="17"/>
    </row>
    <row r="14" spans="1:12" x14ac:dyDescent="0.35">
      <c r="A14" s="16" t="s">
        <v>57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x14ac:dyDescent="0.35">
      <c r="A15" s="16" t="s">
        <v>58</v>
      </c>
      <c r="B15" s="17"/>
      <c r="C15" s="17"/>
      <c r="D15" s="17"/>
      <c r="E15" s="17"/>
      <c r="F15" s="17"/>
      <c r="G15" s="17"/>
      <c r="H15" s="17">
        <v>370968</v>
      </c>
      <c r="I15" s="17">
        <v>307925</v>
      </c>
      <c r="J15" s="17"/>
      <c r="K15" s="17"/>
      <c r="L15" s="17"/>
    </row>
    <row r="16" spans="1:12" x14ac:dyDescent="0.35">
      <c r="A16" s="16" t="s">
        <v>59</v>
      </c>
      <c r="B16" s="17"/>
      <c r="C16" s="17"/>
      <c r="D16" s="17">
        <v>134863</v>
      </c>
      <c r="E16" s="17">
        <v>54619</v>
      </c>
      <c r="F16" s="17">
        <v>48109</v>
      </c>
      <c r="G16" s="17">
        <v>84369</v>
      </c>
      <c r="H16" s="17">
        <v>69763</v>
      </c>
      <c r="I16" s="17">
        <v>62957</v>
      </c>
      <c r="J16" s="17">
        <v>55253</v>
      </c>
      <c r="K16" s="17"/>
      <c r="L16" s="17">
        <v>55252.93</v>
      </c>
    </row>
    <row r="17" spans="1:12" x14ac:dyDescent="0.35">
      <c r="A17" s="18" t="s">
        <v>60</v>
      </c>
      <c r="B17" s="19">
        <f t="shared" ref="B17:J17" si="0">B7+B8+B9+B10+B11+B12+B13+B14+B15+B16</f>
        <v>20135862</v>
      </c>
      <c r="C17" s="19">
        <f t="shared" si="0"/>
        <v>16766963</v>
      </c>
      <c r="D17" s="19">
        <f t="shared" si="0"/>
        <v>12074610</v>
      </c>
      <c r="E17" s="19">
        <f t="shared" si="0"/>
        <v>12591187</v>
      </c>
      <c r="F17" s="19">
        <f t="shared" si="0"/>
        <v>12986251</v>
      </c>
      <c r="G17" s="19">
        <f t="shared" si="0"/>
        <v>14393590</v>
      </c>
      <c r="H17" s="19">
        <f t="shared" si="0"/>
        <v>16058303</v>
      </c>
      <c r="I17" s="19">
        <f t="shared" si="0"/>
        <v>22944559</v>
      </c>
      <c r="J17" s="19">
        <f t="shared" si="0"/>
        <v>24554710</v>
      </c>
      <c r="K17" s="19"/>
      <c r="L17" s="19">
        <f>L7+L8+L9+L10+L11+L12+L13+L14+L15+L16</f>
        <v>22911718.629999999</v>
      </c>
    </row>
    <row r="18" spans="1:12" x14ac:dyDescent="0.35">
      <c r="A18" s="14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35">
      <c r="A19" s="16" t="s">
        <v>62</v>
      </c>
      <c r="B19" s="17">
        <v>1310376</v>
      </c>
      <c r="C19" s="17">
        <v>1925110</v>
      </c>
      <c r="D19" s="17">
        <v>1211983</v>
      </c>
      <c r="E19" s="17">
        <v>1044149</v>
      </c>
      <c r="F19" s="17">
        <v>1018143</v>
      </c>
      <c r="G19" s="17">
        <v>1466452</v>
      </c>
      <c r="H19" s="17">
        <v>736623</v>
      </c>
      <c r="I19" s="17">
        <v>916677</v>
      </c>
      <c r="J19" s="17">
        <v>432687</v>
      </c>
      <c r="K19" s="17"/>
      <c r="L19" s="17">
        <v>1514972.06</v>
      </c>
    </row>
    <row r="20" spans="1:12" x14ac:dyDescent="0.35">
      <c r="A20" s="16" t="s">
        <v>63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1:12" x14ac:dyDescent="0.35">
      <c r="A21" s="16" t="s">
        <v>64</v>
      </c>
      <c r="B21" s="17">
        <v>1154445</v>
      </c>
      <c r="C21" s="17">
        <v>6185</v>
      </c>
      <c r="D21" s="17">
        <v>9828</v>
      </c>
      <c r="E21" s="17">
        <v>22643</v>
      </c>
      <c r="F21" s="17">
        <v>2315</v>
      </c>
      <c r="G21" s="17">
        <v>12617</v>
      </c>
      <c r="H21" s="17">
        <v>8619</v>
      </c>
      <c r="I21" s="17">
        <v>64198</v>
      </c>
      <c r="J21" s="17">
        <v>343139</v>
      </c>
      <c r="K21" s="17"/>
      <c r="L21" s="17"/>
    </row>
    <row r="22" spans="1:12" x14ac:dyDescent="0.35">
      <c r="A22" s="16" t="s">
        <v>65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12" x14ac:dyDescent="0.35">
      <c r="A23" s="16" t="s">
        <v>66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35">
      <c r="A24" s="18" t="s">
        <v>67</v>
      </c>
      <c r="B24" s="19">
        <f t="shared" ref="B24:J24" si="1">B19+B20+B21+B22+B23</f>
        <v>2464821</v>
      </c>
      <c r="C24" s="19">
        <f t="shared" si="1"/>
        <v>1931295</v>
      </c>
      <c r="D24" s="19">
        <f t="shared" si="1"/>
        <v>1221811</v>
      </c>
      <c r="E24" s="19">
        <f t="shared" si="1"/>
        <v>1066792</v>
      </c>
      <c r="F24" s="19">
        <f t="shared" si="1"/>
        <v>1020458</v>
      </c>
      <c r="G24" s="19">
        <f t="shared" si="1"/>
        <v>1479069</v>
      </c>
      <c r="H24" s="19">
        <f t="shared" si="1"/>
        <v>745242</v>
      </c>
      <c r="I24" s="19">
        <f t="shared" si="1"/>
        <v>980875</v>
      </c>
      <c r="J24" s="19">
        <f t="shared" si="1"/>
        <v>775826</v>
      </c>
      <c r="K24" s="19"/>
      <c r="L24" s="19">
        <f>L19+L20+L21+L22+L23</f>
        <v>1514972.06</v>
      </c>
    </row>
    <row r="25" spans="1:12" x14ac:dyDescent="0.35">
      <c r="A25" s="14" t="s">
        <v>68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x14ac:dyDescent="0.35">
      <c r="A26" s="16" t="s">
        <v>69</v>
      </c>
      <c r="B26" s="17">
        <v>9352796</v>
      </c>
      <c r="C26" s="17">
        <v>9984079</v>
      </c>
      <c r="D26" s="17">
        <v>10403078</v>
      </c>
      <c r="E26" s="17">
        <v>10927163</v>
      </c>
      <c r="F26" s="17">
        <v>11411909</v>
      </c>
      <c r="G26" s="17">
        <v>12105274</v>
      </c>
      <c r="H26" s="17">
        <v>12507850</v>
      </c>
      <c r="I26" s="17">
        <v>12577125</v>
      </c>
      <c r="J26" s="17">
        <v>12500586</v>
      </c>
      <c r="K26" s="17"/>
      <c r="L26" s="17">
        <v>13043374.869999999</v>
      </c>
    </row>
    <row r="27" spans="1:12" x14ac:dyDescent="0.35">
      <c r="A27" s="16" t="s">
        <v>70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 x14ac:dyDescent="0.35">
      <c r="A28" s="16" t="s">
        <v>71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 x14ac:dyDescent="0.35">
      <c r="A29" s="16" t="s">
        <v>72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x14ac:dyDescent="0.35">
      <c r="A30" s="16" t="s">
        <v>73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x14ac:dyDescent="0.35">
      <c r="A31" s="18" t="s">
        <v>74</v>
      </c>
      <c r="B31" s="19">
        <f t="shared" ref="B31:J31" si="2">B26+B27+B28+B29+B30</f>
        <v>9352796</v>
      </c>
      <c r="C31" s="19">
        <f t="shared" si="2"/>
        <v>9984079</v>
      </c>
      <c r="D31" s="19">
        <f t="shared" si="2"/>
        <v>10403078</v>
      </c>
      <c r="E31" s="19">
        <f t="shared" si="2"/>
        <v>10927163</v>
      </c>
      <c r="F31" s="19">
        <f t="shared" si="2"/>
        <v>11411909</v>
      </c>
      <c r="G31" s="19">
        <f t="shared" si="2"/>
        <v>12105274</v>
      </c>
      <c r="H31" s="19">
        <f t="shared" si="2"/>
        <v>12507850</v>
      </c>
      <c r="I31" s="19">
        <f t="shared" si="2"/>
        <v>12577125</v>
      </c>
      <c r="J31" s="19">
        <f t="shared" si="2"/>
        <v>12500586</v>
      </c>
      <c r="K31" s="19"/>
      <c r="L31" s="19">
        <f>L26+L27+L28+L29+L30</f>
        <v>13043374.869999999</v>
      </c>
    </row>
    <row r="32" spans="1:12" x14ac:dyDescent="0.35">
      <c r="A32" s="14" t="s">
        <v>75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x14ac:dyDescent="0.35">
      <c r="A33" s="16" t="s">
        <v>76</v>
      </c>
      <c r="B33" s="17"/>
      <c r="C33" s="17"/>
      <c r="D33" s="17">
        <v>134863</v>
      </c>
      <c r="E33" s="17">
        <v>54619</v>
      </c>
      <c r="F33" s="17">
        <v>48109</v>
      </c>
      <c r="G33" s="17">
        <v>84369</v>
      </c>
      <c r="H33" s="17">
        <v>69763</v>
      </c>
      <c r="I33" s="17">
        <v>62957</v>
      </c>
      <c r="J33" s="17">
        <v>55253</v>
      </c>
      <c r="K33" s="17"/>
      <c r="L33" s="17">
        <v>55252.93</v>
      </c>
    </row>
    <row r="34" spans="1:12" x14ac:dyDescent="0.35">
      <c r="A34" s="16" t="s">
        <v>77</v>
      </c>
      <c r="B34" s="17">
        <v>8318245</v>
      </c>
      <c r="C34" s="17">
        <v>4851589</v>
      </c>
      <c r="D34" s="17">
        <v>314858</v>
      </c>
      <c r="E34" s="17">
        <v>542613</v>
      </c>
      <c r="F34" s="17">
        <v>505775</v>
      </c>
      <c r="G34" s="17">
        <v>724878</v>
      </c>
      <c r="H34" s="17">
        <v>2735448</v>
      </c>
      <c r="I34" s="17">
        <v>9323602</v>
      </c>
      <c r="J34" s="17">
        <v>11223045</v>
      </c>
      <c r="K34" s="17"/>
      <c r="L34" s="17">
        <v>8353371.7000000002</v>
      </c>
    </row>
    <row r="35" spans="1:12" x14ac:dyDescent="0.35">
      <c r="A35" s="16" t="s">
        <v>78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35">
      <c r="A36" s="16" t="s">
        <v>79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x14ac:dyDescent="0.35">
      <c r="A37" s="16" t="s">
        <v>80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>
        <v>-55252.93</v>
      </c>
    </row>
    <row r="38" spans="1:12" x14ac:dyDescent="0.35">
      <c r="A38" s="18" t="s">
        <v>81</v>
      </c>
      <c r="B38" s="19">
        <f t="shared" ref="B38:J38" si="3">B33+B34+B35+B36+B37</f>
        <v>8318245</v>
      </c>
      <c r="C38" s="19">
        <f t="shared" si="3"/>
        <v>4851589</v>
      </c>
      <c r="D38" s="19">
        <f t="shared" si="3"/>
        <v>449721</v>
      </c>
      <c r="E38" s="19">
        <f t="shared" si="3"/>
        <v>597232</v>
      </c>
      <c r="F38" s="19">
        <f t="shared" si="3"/>
        <v>553884</v>
      </c>
      <c r="G38" s="19">
        <f t="shared" si="3"/>
        <v>809247</v>
      </c>
      <c r="H38" s="19">
        <f t="shared" si="3"/>
        <v>2805211</v>
      </c>
      <c r="I38" s="19">
        <f t="shared" si="3"/>
        <v>9386559</v>
      </c>
      <c r="J38" s="19">
        <f t="shared" si="3"/>
        <v>11278298</v>
      </c>
      <c r="K38" s="19"/>
      <c r="L38" s="19">
        <f>L33+L34+L35+L36+L37</f>
        <v>8353371.7000000011</v>
      </c>
    </row>
    <row r="39" spans="1:12" x14ac:dyDescent="0.35">
      <c r="A39" s="18" t="s">
        <v>82</v>
      </c>
      <c r="B39" s="19">
        <f t="shared" ref="B39:J39" si="4">B24+B31+B38</f>
        <v>20135862</v>
      </c>
      <c r="C39" s="19">
        <f t="shared" si="4"/>
        <v>16766963</v>
      </c>
      <c r="D39" s="19">
        <f t="shared" si="4"/>
        <v>12074610</v>
      </c>
      <c r="E39" s="19">
        <f t="shared" si="4"/>
        <v>12591187</v>
      </c>
      <c r="F39" s="19">
        <f t="shared" si="4"/>
        <v>12986251</v>
      </c>
      <c r="G39" s="19">
        <f t="shared" si="4"/>
        <v>14393590</v>
      </c>
      <c r="H39" s="19">
        <f t="shared" si="4"/>
        <v>16058303</v>
      </c>
      <c r="I39" s="19">
        <f t="shared" si="4"/>
        <v>22944559</v>
      </c>
      <c r="J39" s="19">
        <f t="shared" si="4"/>
        <v>24554710</v>
      </c>
      <c r="K39" s="19"/>
      <c r="L39" s="19">
        <f>L24+L31+L38</f>
        <v>22911718.630000003</v>
      </c>
    </row>
    <row r="41" spans="1:12" x14ac:dyDescent="0.35">
      <c r="A41" s="20" t="s">
        <v>83</v>
      </c>
      <c r="B41" s="21">
        <f t="shared" ref="B41:J41" si="5">B17-B39</f>
        <v>0</v>
      </c>
      <c r="C41" s="21">
        <f t="shared" si="5"/>
        <v>0</v>
      </c>
      <c r="D41" s="21">
        <f t="shared" si="5"/>
        <v>0</v>
      </c>
      <c r="E41" s="21">
        <f t="shared" si="5"/>
        <v>0</v>
      </c>
      <c r="F41" s="21">
        <f t="shared" si="5"/>
        <v>0</v>
      </c>
      <c r="G41" s="21">
        <f t="shared" si="5"/>
        <v>0</v>
      </c>
      <c r="H41" s="21">
        <f t="shared" si="5"/>
        <v>0</v>
      </c>
      <c r="I41" s="21">
        <f t="shared" si="5"/>
        <v>0</v>
      </c>
      <c r="J41" s="21">
        <f t="shared" si="5"/>
        <v>0</v>
      </c>
      <c r="K41" s="21"/>
      <c r="L41" s="21">
        <f>L17-L39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52" customWidth="1"/>
    <col min="2" max="12" width="15" customWidth="1"/>
  </cols>
  <sheetData>
    <row r="1" spans="1:12" ht="16.5" x14ac:dyDescent="0.35">
      <c r="A1" s="10" t="s">
        <v>0</v>
      </c>
    </row>
    <row r="2" spans="1:12" x14ac:dyDescent="0.35">
      <c r="A2" s="4" t="s">
        <v>46</v>
      </c>
    </row>
    <row r="3" spans="1:12" x14ac:dyDescent="0.35">
      <c r="A3" s="11" t="s">
        <v>85</v>
      </c>
    </row>
    <row r="5" spans="1:12" x14ac:dyDescent="0.35">
      <c r="A5" s="12" t="s">
        <v>48</v>
      </c>
      <c r="B5" s="13" t="s">
        <v>12</v>
      </c>
      <c r="C5" s="13" t="s">
        <v>13</v>
      </c>
      <c r="D5" s="13" t="s">
        <v>14</v>
      </c>
      <c r="E5" s="13" t="s">
        <v>15</v>
      </c>
      <c r="F5" s="13" t="s">
        <v>16</v>
      </c>
      <c r="G5" s="13" t="s">
        <v>17</v>
      </c>
      <c r="H5" s="13" t="s">
        <v>18</v>
      </c>
      <c r="I5" s="13" t="s">
        <v>19</v>
      </c>
      <c r="J5" s="13" t="s">
        <v>20</v>
      </c>
      <c r="K5" s="13" t="s">
        <v>21</v>
      </c>
      <c r="L5" s="13" t="s">
        <v>22</v>
      </c>
    </row>
    <row r="6" spans="1:12" x14ac:dyDescent="0.35">
      <c r="A6" s="14" t="s">
        <v>49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x14ac:dyDescent="0.35">
      <c r="A7" s="16" t="s">
        <v>50</v>
      </c>
      <c r="B7" s="17">
        <v>8364423</v>
      </c>
      <c r="C7" s="17">
        <v>24869975</v>
      </c>
      <c r="D7" s="17">
        <v>6821801</v>
      </c>
      <c r="E7" s="17">
        <v>6411450</v>
      </c>
      <c r="F7" s="17"/>
      <c r="G7" s="17"/>
      <c r="H7" s="17"/>
      <c r="I7" s="17"/>
      <c r="J7" s="17"/>
      <c r="K7" s="17">
        <v>29750724</v>
      </c>
      <c r="L7" s="17">
        <v>9638851.6199999992</v>
      </c>
    </row>
    <row r="8" spans="1:12" x14ac:dyDescent="0.35">
      <c r="A8" s="16" t="s">
        <v>51</v>
      </c>
      <c r="B8" s="17"/>
      <c r="C8" s="17">
        <v>5587205</v>
      </c>
      <c r="D8" s="17">
        <v>5587205</v>
      </c>
      <c r="E8" s="17">
        <v>5587205</v>
      </c>
      <c r="F8" s="17">
        <v>3205668</v>
      </c>
      <c r="G8" s="17">
        <v>2941742</v>
      </c>
      <c r="H8" s="17">
        <v>1770109</v>
      </c>
      <c r="I8" s="17">
        <v>2991866</v>
      </c>
      <c r="J8" s="17">
        <v>87438769</v>
      </c>
      <c r="K8" s="17"/>
      <c r="L8" s="17"/>
    </row>
    <row r="9" spans="1:12" x14ac:dyDescent="0.35">
      <c r="A9" s="16" t="s">
        <v>52</v>
      </c>
      <c r="B9" s="17"/>
      <c r="C9" s="17"/>
      <c r="D9" s="17"/>
      <c r="E9" s="17"/>
      <c r="F9" s="17"/>
      <c r="G9" s="17"/>
      <c r="H9" s="17"/>
      <c r="I9" s="17"/>
      <c r="J9" s="17"/>
      <c r="K9" s="17">
        <v>69409</v>
      </c>
      <c r="L9" s="17"/>
    </row>
    <row r="10" spans="1:12" x14ac:dyDescent="0.35">
      <c r="A10" s="16" t="s">
        <v>53</v>
      </c>
      <c r="B10" s="17"/>
      <c r="C10" s="17"/>
      <c r="D10" s="17"/>
      <c r="E10" s="17"/>
      <c r="F10" s="17"/>
      <c r="G10" s="17"/>
      <c r="H10" s="17"/>
      <c r="I10" s="17"/>
      <c r="J10" s="17"/>
      <c r="K10" s="17">
        <v>13106246</v>
      </c>
      <c r="L10" s="17"/>
    </row>
    <row r="11" spans="1:12" x14ac:dyDescent="0.35">
      <c r="A11" s="16" t="s">
        <v>54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x14ac:dyDescent="0.35">
      <c r="A12" s="16" t="s">
        <v>55</v>
      </c>
      <c r="B12" s="17">
        <v>600000</v>
      </c>
      <c r="C12" s="17">
        <v>500000</v>
      </c>
      <c r="D12" s="17">
        <v>520000</v>
      </c>
      <c r="E12" s="17">
        <v>670000</v>
      </c>
      <c r="F12" s="17">
        <v>424339</v>
      </c>
      <c r="G12" s="17">
        <v>434796</v>
      </c>
      <c r="H12" s="17">
        <v>2093103</v>
      </c>
      <c r="I12" s="17">
        <v>2400991</v>
      </c>
      <c r="J12" s="17"/>
      <c r="K12" s="17"/>
      <c r="L12" s="17"/>
    </row>
    <row r="13" spans="1:12" x14ac:dyDescent="0.35">
      <c r="A13" s="16" t="s">
        <v>56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 x14ac:dyDescent="0.35">
      <c r="A14" s="16" t="s">
        <v>57</v>
      </c>
      <c r="B14" s="17">
        <v>1935743</v>
      </c>
      <c r="C14" s="17">
        <v>2088780</v>
      </c>
      <c r="D14" s="17">
        <v>1088388</v>
      </c>
      <c r="E14" s="17">
        <v>1103259</v>
      </c>
      <c r="F14" s="17">
        <v>1155570</v>
      </c>
      <c r="G14" s="17">
        <v>1246881</v>
      </c>
      <c r="H14" s="17">
        <v>1217850</v>
      </c>
      <c r="I14" s="17">
        <v>1207537</v>
      </c>
      <c r="J14" s="17">
        <v>1387439</v>
      </c>
      <c r="K14" s="17">
        <v>1750343</v>
      </c>
      <c r="L14" s="17">
        <v>1994425.43</v>
      </c>
    </row>
    <row r="15" spans="1:12" x14ac:dyDescent="0.35">
      <c r="A15" s="16" t="s">
        <v>58</v>
      </c>
      <c r="B15" s="17"/>
      <c r="C15" s="17">
        <v>571353</v>
      </c>
      <c r="D15" s="17"/>
      <c r="E15" s="17"/>
      <c r="F15" s="17"/>
      <c r="G15" s="17"/>
      <c r="H15" s="17">
        <v>22924</v>
      </c>
      <c r="I15" s="17">
        <v>71703</v>
      </c>
      <c r="J15" s="17">
        <v>302077</v>
      </c>
      <c r="K15" s="17">
        <v>8492371</v>
      </c>
      <c r="L15" s="17"/>
    </row>
    <row r="16" spans="1:12" x14ac:dyDescent="0.35">
      <c r="A16" s="16" t="s">
        <v>59</v>
      </c>
      <c r="B16" s="17">
        <v>1540</v>
      </c>
      <c r="C16" s="17">
        <v>1310</v>
      </c>
      <c r="D16" s="17">
        <v>133110</v>
      </c>
      <c r="E16" s="17">
        <v>83073</v>
      </c>
      <c r="F16" s="17">
        <v>46770</v>
      </c>
      <c r="G16" s="17">
        <v>12778</v>
      </c>
      <c r="H16" s="17">
        <v>276213</v>
      </c>
      <c r="I16" s="17">
        <v>68695</v>
      </c>
      <c r="J16" s="17">
        <v>115388</v>
      </c>
      <c r="K16" s="17">
        <v>186460</v>
      </c>
      <c r="L16" s="17">
        <v>5626.87</v>
      </c>
    </row>
    <row r="17" spans="1:12" x14ac:dyDescent="0.35">
      <c r="A17" s="18" t="s">
        <v>60</v>
      </c>
      <c r="B17" s="19">
        <f t="shared" ref="B17:L17" si="0">B7+B8+B9+B10+B11+B12+B13+B14+B15+B16</f>
        <v>10901706</v>
      </c>
      <c r="C17" s="19">
        <f t="shared" si="0"/>
        <v>33618623</v>
      </c>
      <c r="D17" s="19">
        <f t="shared" si="0"/>
        <v>14150504</v>
      </c>
      <c r="E17" s="19">
        <f t="shared" si="0"/>
        <v>13854987</v>
      </c>
      <c r="F17" s="19">
        <f t="shared" si="0"/>
        <v>4832347</v>
      </c>
      <c r="G17" s="19">
        <f t="shared" si="0"/>
        <v>4636197</v>
      </c>
      <c r="H17" s="19">
        <f t="shared" si="0"/>
        <v>5380199</v>
      </c>
      <c r="I17" s="19">
        <f t="shared" si="0"/>
        <v>6740792</v>
      </c>
      <c r="J17" s="19">
        <f t="shared" si="0"/>
        <v>89243673</v>
      </c>
      <c r="K17" s="19">
        <f t="shared" si="0"/>
        <v>53355553</v>
      </c>
      <c r="L17" s="19">
        <f t="shared" si="0"/>
        <v>11638903.919999998</v>
      </c>
    </row>
    <row r="18" spans="1:12" x14ac:dyDescent="0.35">
      <c r="A18" s="14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35">
      <c r="A19" s="16" t="s">
        <v>62</v>
      </c>
      <c r="B19" s="17">
        <v>5369297</v>
      </c>
      <c r="C19" s="17">
        <v>7094040</v>
      </c>
      <c r="D19" s="17">
        <v>4320915</v>
      </c>
      <c r="E19" s="17">
        <v>3290977</v>
      </c>
      <c r="F19" s="17">
        <v>261070</v>
      </c>
      <c r="G19" s="17">
        <v>17782</v>
      </c>
      <c r="H19" s="17">
        <v>1857138</v>
      </c>
      <c r="I19" s="17">
        <v>605023</v>
      </c>
      <c r="J19" s="17">
        <v>5417498</v>
      </c>
      <c r="K19" s="17">
        <v>10179103</v>
      </c>
      <c r="L19" s="17">
        <v>2359126.31</v>
      </c>
    </row>
    <row r="20" spans="1:12" x14ac:dyDescent="0.35">
      <c r="A20" s="16" t="s">
        <v>63</v>
      </c>
      <c r="B20" s="17">
        <v>19469</v>
      </c>
      <c r="C20" s="17">
        <v>17814</v>
      </c>
      <c r="D20" s="17">
        <v>15306</v>
      </c>
      <c r="E20" s="17">
        <v>18944</v>
      </c>
      <c r="F20" s="17">
        <v>21082</v>
      </c>
      <c r="G20" s="17">
        <v>25352</v>
      </c>
      <c r="H20" s="17">
        <v>20151</v>
      </c>
      <c r="I20" s="17">
        <v>24877</v>
      </c>
      <c r="J20" s="17">
        <v>25864</v>
      </c>
      <c r="K20" s="17">
        <v>17222</v>
      </c>
      <c r="L20" s="17">
        <v>69581.37</v>
      </c>
    </row>
    <row r="21" spans="1:12" x14ac:dyDescent="0.35">
      <c r="A21" s="16" t="s">
        <v>64</v>
      </c>
      <c r="B21" s="17">
        <v>33476</v>
      </c>
      <c r="C21" s="17"/>
      <c r="D21" s="17">
        <v>11741</v>
      </c>
      <c r="E21" s="17">
        <v>37603</v>
      </c>
      <c r="F21" s="17">
        <v>21076</v>
      </c>
      <c r="G21" s="17">
        <v>28927</v>
      </c>
      <c r="H21" s="17"/>
      <c r="I21" s="17"/>
      <c r="J21" s="17">
        <v>78982</v>
      </c>
      <c r="K21" s="17">
        <v>1103189</v>
      </c>
      <c r="L21" s="17"/>
    </row>
    <row r="22" spans="1:12" x14ac:dyDescent="0.35">
      <c r="A22" s="16" t="s">
        <v>65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12" x14ac:dyDescent="0.35">
      <c r="A23" s="16" t="s">
        <v>66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35">
      <c r="A24" s="18" t="s">
        <v>67</v>
      </c>
      <c r="B24" s="19">
        <f t="shared" ref="B24:L24" si="1">B19+B20+B21+B22+B23</f>
        <v>5422242</v>
      </c>
      <c r="C24" s="19">
        <f t="shared" si="1"/>
        <v>7111854</v>
      </c>
      <c r="D24" s="19">
        <f t="shared" si="1"/>
        <v>4347962</v>
      </c>
      <c r="E24" s="19">
        <f t="shared" si="1"/>
        <v>3347524</v>
      </c>
      <c r="F24" s="19">
        <f t="shared" si="1"/>
        <v>303228</v>
      </c>
      <c r="G24" s="19">
        <f t="shared" si="1"/>
        <v>72061</v>
      </c>
      <c r="H24" s="19">
        <f t="shared" si="1"/>
        <v>1877289</v>
      </c>
      <c r="I24" s="19">
        <f t="shared" si="1"/>
        <v>629900</v>
      </c>
      <c r="J24" s="19">
        <f t="shared" si="1"/>
        <v>5522344</v>
      </c>
      <c r="K24" s="19">
        <f t="shared" si="1"/>
        <v>11299514</v>
      </c>
      <c r="L24" s="19">
        <f t="shared" si="1"/>
        <v>2428707.6800000002</v>
      </c>
    </row>
    <row r="25" spans="1:12" x14ac:dyDescent="0.35">
      <c r="A25" s="14" t="s">
        <v>68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x14ac:dyDescent="0.35">
      <c r="A26" s="16" t="s">
        <v>69</v>
      </c>
      <c r="B26" s="17"/>
      <c r="C26" s="17"/>
      <c r="D26" s="17"/>
      <c r="E26" s="17"/>
      <c r="F26" s="17"/>
      <c r="G26" s="17"/>
      <c r="H26" s="17"/>
      <c r="I26" s="17"/>
      <c r="J26" s="17"/>
      <c r="K26" s="17">
        <v>13106246</v>
      </c>
      <c r="L26" s="17"/>
    </row>
    <row r="27" spans="1:12" x14ac:dyDescent="0.35">
      <c r="A27" s="16" t="s">
        <v>70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 x14ac:dyDescent="0.35">
      <c r="A28" s="16" t="s">
        <v>71</v>
      </c>
      <c r="B28" s="17">
        <v>600000</v>
      </c>
      <c r="C28" s="17">
        <v>500000</v>
      </c>
      <c r="D28" s="17">
        <v>520000</v>
      </c>
      <c r="E28" s="17">
        <v>670000</v>
      </c>
      <c r="F28" s="17">
        <v>424339</v>
      </c>
      <c r="G28" s="17">
        <v>434796</v>
      </c>
      <c r="H28" s="17">
        <v>2093103</v>
      </c>
      <c r="I28" s="17">
        <v>2400991</v>
      </c>
      <c r="J28" s="17"/>
      <c r="K28" s="17"/>
      <c r="L28" s="17"/>
    </row>
    <row r="29" spans="1:12" x14ac:dyDescent="0.35">
      <c r="A29" s="16" t="s">
        <v>72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x14ac:dyDescent="0.35">
      <c r="A30" s="16" t="s">
        <v>73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x14ac:dyDescent="0.35">
      <c r="A31" s="18" t="s">
        <v>74</v>
      </c>
      <c r="B31" s="19">
        <f t="shared" ref="B31:L31" si="2">B26+B27+B28+B29+B30</f>
        <v>600000</v>
      </c>
      <c r="C31" s="19">
        <f t="shared" si="2"/>
        <v>500000</v>
      </c>
      <c r="D31" s="19">
        <f t="shared" si="2"/>
        <v>520000</v>
      </c>
      <c r="E31" s="19">
        <f t="shared" si="2"/>
        <v>670000</v>
      </c>
      <c r="F31" s="19">
        <f t="shared" si="2"/>
        <v>424339</v>
      </c>
      <c r="G31" s="19">
        <f t="shared" si="2"/>
        <v>434796</v>
      </c>
      <c r="H31" s="19">
        <f t="shared" si="2"/>
        <v>2093103</v>
      </c>
      <c r="I31" s="19">
        <f t="shared" si="2"/>
        <v>2400991</v>
      </c>
      <c r="J31" s="19">
        <f t="shared" si="2"/>
        <v>0</v>
      </c>
      <c r="K31" s="19">
        <f t="shared" si="2"/>
        <v>13106246</v>
      </c>
      <c r="L31" s="19">
        <f t="shared" si="2"/>
        <v>0</v>
      </c>
    </row>
    <row r="32" spans="1:12" x14ac:dyDescent="0.35">
      <c r="A32" s="14" t="s">
        <v>75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x14ac:dyDescent="0.35">
      <c r="A33" s="16" t="s">
        <v>76</v>
      </c>
      <c r="B33" s="17">
        <v>1540</v>
      </c>
      <c r="C33" s="17">
        <v>1310</v>
      </c>
      <c r="D33" s="17">
        <v>133110</v>
      </c>
      <c r="E33" s="17">
        <v>83073</v>
      </c>
      <c r="F33" s="17">
        <v>46770</v>
      </c>
      <c r="G33" s="17">
        <v>12778</v>
      </c>
      <c r="H33" s="17">
        <v>276213</v>
      </c>
      <c r="I33" s="17">
        <v>68695</v>
      </c>
      <c r="J33" s="17">
        <v>115388</v>
      </c>
      <c r="K33" s="17">
        <v>186460</v>
      </c>
      <c r="L33" s="17">
        <v>5626.87</v>
      </c>
    </row>
    <row r="34" spans="1:12" x14ac:dyDescent="0.35">
      <c r="A34" s="16" t="s">
        <v>77</v>
      </c>
      <c r="B34" s="17">
        <v>4877924</v>
      </c>
      <c r="C34" s="17">
        <v>26005459</v>
      </c>
      <c r="D34" s="17">
        <v>9149432</v>
      </c>
      <c r="E34" s="17">
        <v>9754390</v>
      </c>
      <c r="F34" s="17">
        <v>4058010</v>
      </c>
      <c r="G34" s="17">
        <v>4116562</v>
      </c>
      <c r="H34" s="17">
        <v>1133594</v>
      </c>
      <c r="I34" s="17">
        <v>3641206</v>
      </c>
      <c r="J34" s="17">
        <v>83605941</v>
      </c>
      <c r="K34" s="17">
        <v>28763333</v>
      </c>
      <c r="L34" s="17">
        <v>10120664.09</v>
      </c>
    </row>
    <row r="35" spans="1:12" x14ac:dyDescent="0.35">
      <c r="A35" s="16" t="s">
        <v>78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35">
      <c r="A36" s="16" t="s">
        <v>79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x14ac:dyDescent="0.35">
      <c r="A37" s="16" t="s">
        <v>80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>
        <v>-916094.72</v>
      </c>
    </row>
    <row r="38" spans="1:12" x14ac:dyDescent="0.35">
      <c r="A38" s="18" t="s">
        <v>81</v>
      </c>
      <c r="B38" s="19">
        <f t="shared" ref="B38:L38" si="3">B33+B34+B35+B36+B37</f>
        <v>4879464</v>
      </c>
      <c r="C38" s="19">
        <f t="shared" si="3"/>
        <v>26006769</v>
      </c>
      <c r="D38" s="19">
        <f t="shared" si="3"/>
        <v>9282542</v>
      </c>
      <c r="E38" s="19">
        <f t="shared" si="3"/>
        <v>9837463</v>
      </c>
      <c r="F38" s="19">
        <f t="shared" si="3"/>
        <v>4104780</v>
      </c>
      <c r="G38" s="19">
        <f t="shared" si="3"/>
        <v>4129340</v>
      </c>
      <c r="H38" s="19">
        <f t="shared" si="3"/>
        <v>1409807</v>
      </c>
      <c r="I38" s="19">
        <f t="shared" si="3"/>
        <v>3709901</v>
      </c>
      <c r="J38" s="19">
        <f t="shared" si="3"/>
        <v>83721329</v>
      </c>
      <c r="K38" s="19">
        <f t="shared" si="3"/>
        <v>28949793</v>
      </c>
      <c r="L38" s="19">
        <f t="shared" si="3"/>
        <v>9210196.2399999984</v>
      </c>
    </row>
    <row r="39" spans="1:12" x14ac:dyDescent="0.35">
      <c r="A39" s="18" t="s">
        <v>82</v>
      </c>
      <c r="B39" s="19">
        <f t="shared" ref="B39:L39" si="4">B24+B31+B38</f>
        <v>10901706</v>
      </c>
      <c r="C39" s="19">
        <f t="shared" si="4"/>
        <v>33618623</v>
      </c>
      <c r="D39" s="19">
        <f t="shared" si="4"/>
        <v>14150504</v>
      </c>
      <c r="E39" s="19">
        <f t="shared" si="4"/>
        <v>13854987</v>
      </c>
      <c r="F39" s="19">
        <f t="shared" si="4"/>
        <v>4832347</v>
      </c>
      <c r="G39" s="19">
        <f t="shared" si="4"/>
        <v>4636197</v>
      </c>
      <c r="H39" s="19">
        <f t="shared" si="4"/>
        <v>5380199</v>
      </c>
      <c r="I39" s="19">
        <f t="shared" si="4"/>
        <v>6740792</v>
      </c>
      <c r="J39" s="19">
        <f t="shared" si="4"/>
        <v>89243673</v>
      </c>
      <c r="K39" s="19">
        <f t="shared" si="4"/>
        <v>53355553</v>
      </c>
      <c r="L39" s="19">
        <f t="shared" si="4"/>
        <v>11638903.919999998</v>
      </c>
    </row>
    <row r="41" spans="1:12" x14ac:dyDescent="0.35">
      <c r="A41" s="20" t="s">
        <v>83</v>
      </c>
      <c r="B41" s="21">
        <f t="shared" ref="B41:L41" si="5">B17-B39</f>
        <v>0</v>
      </c>
      <c r="C41" s="21">
        <f t="shared" si="5"/>
        <v>0</v>
      </c>
      <c r="D41" s="21">
        <f t="shared" si="5"/>
        <v>0</v>
      </c>
      <c r="E41" s="21">
        <f t="shared" si="5"/>
        <v>0</v>
      </c>
      <c r="F41" s="21">
        <f t="shared" si="5"/>
        <v>0</v>
      </c>
      <c r="G41" s="21">
        <f t="shared" si="5"/>
        <v>0</v>
      </c>
      <c r="H41" s="21">
        <f t="shared" si="5"/>
        <v>0</v>
      </c>
      <c r="I41" s="21">
        <f t="shared" si="5"/>
        <v>0</v>
      </c>
      <c r="J41" s="21">
        <f t="shared" si="5"/>
        <v>0</v>
      </c>
      <c r="K41" s="21">
        <f t="shared" si="5"/>
        <v>0</v>
      </c>
      <c r="L41" s="21">
        <f t="shared" si="5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1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52" customWidth="1"/>
    <col min="2" max="12" width="15" customWidth="1"/>
  </cols>
  <sheetData>
    <row r="1" spans="1:12" ht="16.5" x14ac:dyDescent="0.35">
      <c r="A1" s="10" t="s">
        <v>0</v>
      </c>
    </row>
    <row r="2" spans="1:12" x14ac:dyDescent="0.35">
      <c r="A2" s="4" t="s">
        <v>46</v>
      </c>
    </row>
    <row r="3" spans="1:12" x14ac:dyDescent="0.35">
      <c r="A3" s="11" t="s">
        <v>86</v>
      </c>
    </row>
    <row r="5" spans="1:12" x14ac:dyDescent="0.35">
      <c r="A5" s="12" t="s">
        <v>48</v>
      </c>
      <c r="B5" s="13" t="s">
        <v>12</v>
      </c>
      <c r="C5" s="13" t="s">
        <v>13</v>
      </c>
      <c r="D5" s="13" t="s">
        <v>14</v>
      </c>
      <c r="E5" s="13" t="s">
        <v>15</v>
      </c>
      <c r="F5" s="13" t="s">
        <v>16</v>
      </c>
      <c r="G5" s="13" t="s">
        <v>17</v>
      </c>
      <c r="H5" s="13" t="s">
        <v>18</v>
      </c>
      <c r="I5" s="13" t="s">
        <v>19</v>
      </c>
      <c r="J5" s="13" t="s">
        <v>20</v>
      </c>
      <c r="K5" s="13" t="s">
        <v>21</v>
      </c>
      <c r="L5" s="13" t="s">
        <v>22</v>
      </c>
    </row>
    <row r="6" spans="1:12" x14ac:dyDescent="0.35">
      <c r="A6" s="14" t="s">
        <v>49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x14ac:dyDescent="0.35">
      <c r="A7" s="16" t="s">
        <v>50</v>
      </c>
      <c r="B7" s="17"/>
      <c r="C7" s="17"/>
      <c r="D7" s="17"/>
      <c r="E7" s="17">
        <v>402793</v>
      </c>
      <c r="F7" s="17">
        <v>774465</v>
      </c>
      <c r="G7" s="17">
        <v>111836</v>
      </c>
      <c r="H7" s="17">
        <v>611235</v>
      </c>
      <c r="I7" s="17">
        <v>930982</v>
      </c>
      <c r="J7" s="17">
        <v>864511</v>
      </c>
      <c r="K7" s="17"/>
      <c r="L7" s="17">
        <v>150040.26</v>
      </c>
    </row>
    <row r="8" spans="1:12" x14ac:dyDescent="0.35">
      <c r="A8" s="16" t="s">
        <v>51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x14ac:dyDescent="0.35">
      <c r="A9" s="16" t="s">
        <v>52</v>
      </c>
      <c r="B9" s="17"/>
      <c r="C9" s="17"/>
      <c r="D9" s="17"/>
      <c r="E9" s="17">
        <v>12572</v>
      </c>
      <c r="F9" s="17">
        <v>44653</v>
      </c>
      <c r="G9" s="17">
        <v>92816</v>
      </c>
      <c r="H9" s="17">
        <v>103017</v>
      </c>
      <c r="I9" s="17">
        <v>41125</v>
      </c>
      <c r="J9" s="17">
        <v>64060</v>
      </c>
      <c r="K9" s="17"/>
      <c r="L9" s="17">
        <v>65394.43</v>
      </c>
    </row>
    <row r="10" spans="1:12" x14ac:dyDescent="0.35">
      <c r="A10" s="16" t="s">
        <v>53</v>
      </c>
      <c r="B10" s="17"/>
      <c r="C10" s="17"/>
      <c r="D10" s="17"/>
      <c r="E10" s="17">
        <v>12794596</v>
      </c>
      <c r="F10" s="17">
        <v>9899455</v>
      </c>
      <c r="G10" s="17">
        <v>12959530</v>
      </c>
      <c r="H10" s="17">
        <v>12929522</v>
      </c>
      <c r="I10" s="17">
        <v>12970254</v>
      </c>
      <c r="J10" s="17">
        <v>12832637</v>
      </c>
      <c r="K10" s="17"/>
      <c r="L10" s="17">
        <v>13403898.199999999</v>
      </c>
    </row>
    <row r="11" spans="1:12" x14ac:dyDescent="0.35">
      <c r="A11" s="16" t="s">
        <v>54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x14ac:dyDescent="0.35">
      <c r="A12" s="16" t="s">
        <v>55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x14ac:dyDescent="0.35">
      <c r="A13" s="16" t="s">
        <v>56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 x14ac:dyDescent="0.35">
      <c r="A14" s="16" t="s">
        <v>57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x14ac:dyDescent="0.35">
      <c r="A15" s="16" t="s">
        <v>58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spans="1:12" x14ac:dyDescent="0.35">
      <c r="A16" s="16" t="s">
        <v>59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1:12" x14ac:dyDescent="0.35">
      <c r="A17" s="18" t="s">
        <v>60</v>
      </c>
      <c r="B17" s="19"/>
      <c r="C17" s="19"/>
      <c r="D17" s="19"/>
      <c r="E17" s="19">
        <f t="shared" ref="E17:J17" si="0">E7+E8+E9+E10+E11+E12+E13+E14+E15+E16</f>
        <v>13209961</v>
      </c>
      <c r="F17" s="19">
        <f t="shared" si="0"/>
        <v>10718573</v>
      </c>
      <c r="G17" s="19">
        <f t="shared" si="0"/>
        <v>13164182</v>
      </c>
      <c r="H17" s="19">
        <f t="shared" si="0"/>
        <v>13643774</v>
      </c>
      <c r="I17" s="19">
        <f t="shared" si="0"/>
        <v>13942361</v>
      </c>
      <c r="J17" s="19">
        <f t="shared" si="0"/>
        <v>13761208</v>
      </c>
      <c r="K17" s="19"/>
      <c r="L17" s="19">
        <f>L7+L8+L9+L10+L11+L12+L13+L14+L15+L16</f>
        <v>13619332.889999999</v>
      </c>
    </row>
    <row r="18" spans="1:12" x14ac:dyDescent="0.35">
      <c r="A18" s="14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35">
      <c r="A19" s="16" t="s">
        <v>62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x14ac:dyDescent="0.35">
      <c r="A20" s="16" t="s">
        <v>63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1:12" x14ac:dyDescent="0.35">
      <c r="A21" s="16" t="s">
        <v>64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spans="1:12" x14ac:dyDescent="0.35">
      <c r="A22" s="16" t="s">
        <v>65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12" x14ac:dyDescent="0.35">
      <c r="A23" s="16" t="s">
        <v>66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35">
      <c r="A24" s="18" t="s">
        <v>67</v>
      </c>
      <c r="B24" s="19"/>
      <c r="C24" s="19"/>
      <c r="D24" s="19"/>
      <c r="E24" s="19">
        <f t="shared" ref="E24:J24" si="1">E19+E20+E21+E22+E23</f>
        <v>0</v>
      </c>
      <c r="F24" s="19">
        <f t="shared" si="1"/>
        <v>0</v>
      </c>
      <c r="G24" s="19">
        <f t="shared" si="1"/>
        <v>0</v>
      </c>
      <c r="H24" s="19">
        <f t="shared" si="1"/>
        <v>0</v>
      </c>
      <c r="I24" s="19">
        <f t="shared" si="1"/>
        <v>0</v>
      </c>
      <c r="J24" s="19">
        <f t="shared" si="1"/>
        <v>0</v>
      </c>
      <c r="K24" s="19"/>
      <c r="L24" s="19">
        <f>L19+L20+L21+L22+L23</f>
        <v>0</v>
      </c>
    </row>
    <row r="25" spans="1:12" x14ac:dyDescent="0.35">
      <c r="A25" s="14" t="s">
        <v>68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x14ac:dyDescent="0.35">
      <c r="A26" s="16" t="s">
        <v>69</v>
      </c>
      <c r="B26" s="17"/>
      <c r="C26" s="17"/>
      <c r="D26" s="17"/>
      <c r="E26" s="17">
        <v>12794596</v>
      </c>
      <c r="F26" s="17">
        <v>9899455</v>
      </c>
      <c r="G26" s="17">
        <v>12959530</v>
      </c>
      <c r="H26" s="17">
        <v>12929522</v>
      </c>
      <c r="I26" s="17">
        <v>12970254</v>
      </c>
      <c r="J26" s="17">
        <v>12832637</v>
      </c>
      <c r="K26" s="17"/>
      <c r="L26" s="17">
        <v>13403898.199999999</v>
      </c>
    </row>
    <row r="27" spans="1:12" x14ac:dyDescent="0.35">
      <c r="A27" s="16" t="s">
        <v>70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 x14ac:dyDescent="0.35">
      <c r="A28" s="16" t="s">
        <v>71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 x14ac:dyDescent="0.35">
      <c r="A29" s="16" t="s">
        <v>72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x14ac:dyDescent="0.35">
      <c r="A30" s="16" t="s">
        <v>73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x14ac:dyDescent="0.35">
      <c r="A31" s="18" t="s">
        <v>74</v>
      </c>
      <c r="B31" s="19"/>
      <c r="C31" s="19"/>
      <c r="D31" s="19"/>
      <c r="E31" s="19">
        <f t="shared" ref="E31:J31" si="2">E26+E27+E28+E29+E30</f>
        <v>12794596</v>
      </c>
      <c r="F31" s="19">
        <f t="shared" si="2"/>
        <v>9899455</v>
      </c>
      <c r="G31" s="19">
        <f t="shared" si="2"/>
        <v>12959530</v>
      </c>
      <c r="H31" s="19">
        <f t="shared" si="2"/>
        <v>12929522</v>
      </c>
      <c r="I31" s="19">
        <f t="shared" si="2"/>
        <v>12970254</v>
      </c>
      <c r="J31" s="19">
        <f t="shared" si="2"/>
        <v>12832637</v>
      </c>
      <c r="K31" s="19"/>
      <c r="L31" s="19">
        <f>L26+L27+L28+L29+L30</f>
        <v>13403898.199999999</v>
      </c>
    </row>
    <row r="32" spans="1:12" x14ac:dyDescent="0.35">
      <c r="A32" s="14" t="s">
        <v>75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x14ac:dyDescent="0.35">
      <c r="A33" s="16" t="s">
        <v>76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x14ac:dyDescent="0.35">
      <c r="A34" s="16" t="s">
        <v>77</v>
      </c>
      <c r="B34" s="17"/>
      <c r="C34" s="17"/>
      <c r="D34" s="17"/>
      <c r="E34" s="17">
        <v>415365</v>
      </c>
      <c r="F34" s="17">
        <v>819118</v>
      </c>
      <c r="G34" s="17">
        <v>204652</v>
      </c>
      <c r="H34" s="17">
        <v>714252</v>
      </c>
      <c r="I34" s="17">
        <v>972107</v>
      </c>
      <c r="J34" s="17">
        <v>928571</v>
      </c>
      <c r="K34" s="17"/>
      <c r="L34" s="17">
        <v>215434.69</v>
      </c>
    </row>
    <row r="35" spans="1:12" x14ac:dyDescent="0.35">
      <c r="A35" s="16" t="s">
        <v>78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35">
      <c r="A36" s="16" t="s">
        <v>79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x14ac:dyDescent="0.35">
      <c r="A37" s="16" t="s">
        <v>80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x14ac:dyDescent="0.35">
      <c r="A38" s="18" t="s">
        <v>81</v>
      </c>
      <c r="B38" s="19"/>
      <c r="C38" s="19"/>
      <c r="D38" s="19"/>
      <c r="E38" s="19">
        <f t="shared" ref="E38:J38" si="3">E33+E34+E35+E36+E37</f>
        <v>415365</v>
      </c>
      <c r="F38" s="19">
        <f t="shared" si="3"/>
        <v>819118</v>
      </c>
      <c r="G38" s="19">
        <f t="shared" si="3"/>
        <v>204652</v>
      </c>
      <c r="H38" s="19">
        <f t="shared" si="3"/>
        <v>714252</v>
      </c>
      <c r="I38" s="19">
        <f t="shared" si="3"/>
        <v>972107</v>
      </c>
      <c r="J38" s="19">
        <f t="shared" si="3"/>
        <v>928571</v>
      </c>
      <c r="K38" s="19"/>
      <c r="L38" s="19">
        <f>L33+L34+L35+L36+L37</f>
        <v>215434.69</v>
      </c>
    </row>
    <row r="39" spans="1:12" x14ac:dyDescent="0.35">
      <c r="A39" s="18" t="s">
        <v>82</v>
      </c>
      <c r="B39" s="19"/>
      <c r="C39" s="19"/>
      <c r="D39" s="19"/>
      <c r="E39" s="19">
        <f t="shared" ref="E39:J39" si="4">E24+E31+E38</f>
        <v>13209961</v>
      </c>
      <c r="F39" s="19">
        <f t="shared" si="4"/>
        <v>10718573</v>
      </c>
      <c r="G39" s="19">
        <f t="shared" si="4"/>
        <v>13164182</v>
      </c>
      <c r="H39" s="19">
        <f t="shared" si="4"/>
        <v>13643774</v>
      </c>
      <c r="I39" s="19">
        <f t="shared" si="4"/>
        <v>13942361</v>
      </c>
      <c r="J39" s="19">
        <f t="shared" si="4"/>
        <v>13761208</v>
      </c>
      <c r="K39" s="19"/>
      <c r="L39" s="19">
        <f>L24+L31+L38</f>
        <v>13619332.889999999</v>
      </c>
    </row>
    <row r="41" spans="1:12" x14ac:dyDescent="0.35">
      <c r="A41" s="20" t="s">
        <v>83</v>
      </c>
      <c r="B41" s="21"/>
      <c r="C41" s="21"/>
      <c r="D41" s="21"/>
      <c r="E41" s="21">
        <f t="shared" ref="E41:J41" si="5">E17-E39</f>
        <v>0</v>
      </c>
      <c r="F41" s="21">
        <f t="shared" si="5"/>
        <v>0</v>
      </c>
      <c r="G41" s="21">
        <f t="shared" si="5"/>
        <v>0</v>
      </c>
      <c r="H41" s="21">
        <f t="shared" si="5"/>
        <v>0</v>
      </c>
      <c r="I41" s="21">
        <f t="shared" si="5"/>
        <v>0</v>
      </c>
      <c r="J41" s="21">
        <f t="shared" si="5"/>
        <v>0</v>
      </c>
      <c r="K41" s="21"/>
      <c r="L41" s="21">
        <f>L17-L39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1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52" customWidth="1"/>
    <col min="2" max="12" width="15" customWidth="1"/>
  </cols>
  <sheetData>
    <row r="1" spans="1:12" ht="16.5" x14ac:dyDescent="0.35">
      <c r="A1" s="10" t="s">
        <v>0</v>
      </c>
    </row>
    <row r="2" spans="1:12" x14ac:dyDescent="0.35">
      <c r="A2" s="4" t="s">
        <v>46</v>
      </c>
    </row>
    <row r="3" spans="1:12" x14ac:dyDescent="0.35">
      <c r="A3" s="11" t="s">
        <v>87</v>
      </c>
    </row>
    <row r="5" spans="1:12" x14ac:dyDescent="0.35">
      <c r="A5" s="12" t="s">
        <v>48</v>
      </c>
      <c r="B5" s="13" t="s">
        <v>12</v>
      </c>
      <c r="C5" s="13" t="s">
        <v>13</v>
      </c>
      <c r="D5" s="13" t="s">
        <v>14</v>
      </c>
      <c r="E5" s="13" t="s">
        <v>15</v>
      </c>
      <c r="F5" s="13" t="s">
        <v>16</v>
      </c>
      <c r="G5" s="13" t="s">
        <v>17</v>
      </c>
      <c r="H5" s="13" t="s">
        <v>18</v>
      </c>
      <c r="I5" s="13" t="s">
        <v>19</v>
      </c>
      <c r="J5" s="13" t="s">
        <v>20</v>
      </c>
      <c r="K5" s="13" t="s">
        <v>21</v>
      </c>
      <c r="L5" s="13" t="s">
        <v>22</v>
      </c>
    </row>
    <row r="6" spans="1:12" x14ac:dyDescent="0.35">
      <c r="A6" s="14" t="s">
        <v>49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x14ac:dyDescent="0.35">
      <c r="A7" s="16" t="s">
        <v>50</v>
      </c>
      <c r="B7" s="17"/>
      <c r="C7" s="17"/>
      <c r="D7" s="17"/>
      <c r="E7" s="17">
        <v>53638555</v>
      </c>
      <c r="F7" s="17">
        <v>70679827</v>
      </c>
      <c r="G7" s="17">
        <v>72977150</v>
      </c>
      <c r="H7" s="17">
        <v>25455199</v>
      </c>
      <c r="I7" s="17">
        <v>9241045</v>
      </c>
      <c r="J7" s="17"/>
      <c r="K7" s="17"/>
      <c r="L7" s="17"/>
    </row>
    <row r="8" spans="1:12" x14ac:dyDescent="0.35">
      <c r="A8" s="16" t="s">
        <v>51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x14ac:dyDescent="0.35">
      <c r="A9" s="16" t="s">
        <v>52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2" x14ac:dyDescent="0.35">
      <c r="A10" s="16" t="s">
        <v>53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spans="1:12" x14ac:dyDescent="0.35">
      <c r="A11" s="16" t="s">
        <v>54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x14ac:dyDescent="0.35">
      <c r="A12" s="16" t="s">
        <v>55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x14ac:dyDescent="0.35">
      <c r="A13" s="16" t="s">
        <v>56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 x14ac:dyDescent="0.35">
      <c r="A14" s="16" t="s">
        <v>57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x14ac:dyDescent="0.35">
      <c r="A15" s="16" t="s">
        <v>58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spans="1:12" x14ac:dyDescent="0.35">
      <c r="A16" s="16" t="s">
        <v>59</v>
      </c>
      <c r="B16" s="17"/>
      <c r="C16" s="17"/>
      <c r="D16" s="17"/>
      <c r="E16" s="17"/>
      <c r="F16" s="17"/>
      <c r="G16" s="17">
        <v>338</v>
      </c>
      <c r="H16" s="17">
        <v>337</v>
      </c>
      <c r="I16" s="17"/>
      <c r="J16" s="17"/>
      <c r="K16" s="17"/>
      <c r="L16" s="17"/>
    </row>
    <row r="17" spans="1:12" x14ac:dyDescent="0.35">
      <c r="A17" s="18" t="s">
        <v>60</v>
      </c>
      <c r="B17" s="19"/>
      <c r="C17" s="19"/>
      <c r="D17" s="19"/>
      <c r="E17" s="19">
        <f>E7+E8+E9+E10+E11+E12+E13+E14+E15+E16</f>
        <v>53638555</v>
      </c>
      <c r="F17" s="19">
        <f>F7+F8+F9+F10+F11+F12+F13+F14+F15+F16</f>
        <v>70679827</v>
      </c>
      <c r="G17" s="19">
        <f>G7+G8+G9+G10+G11+G12+G13+G14+G15+G16</f>
        <v>72977488</v>
      </c>
      <c r="H17" s="19">
        <f>H7+H8+H9+H10+H11+H12+H13+H14+H15+H16</f>
        <v>25455536</v>
      </c>
      <c r="I17" s="19">
        <f>I7+I8+I9+I10+I11+I12+I13+I14+I15+I16</f>
        <v>9241045</v>
      </c>
      <c r="J17" s="19"/>
      <c r="K17" s="19"/>
      <c r="L17" s="19"/>
    </row>
    <row r="18" spans="1:12" x14ac:dyDescent="0.35">
      <c r="A18" s="14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35">
      <c r="A19" s="16" t="s">
        <v>62</v>
      </c>
      <c r="B19" s="17"/>
      <c r="C19" s="17"/>
      <c r="D19" s="17"/>
      <c r="E19" s="17">
        <v>3491737</v>
      </c>
      <c r="F19" s="17">
        <v>10700702</v>
      </c>
      <c r="G19" s="17">
        <v>9128881</v>
      </c>
      <c r="H19" s="17">
        <v>4955176</v>
      </c>
      <c r="I19" s="17">
        <v>2296139</v>
      </c>
      <c r="J19" s="17"/>
      <c r="K19" s="17"/>
      <c r="L19" s="17"/>
    </row>
    <row r="20" spans="1:12" x14ac:dyDescent="0.35">
      <c r="A20" s="16" t="s">
        <v>63</v>
      </c>
      <c r="B20" s="17"/>
      <c r="C20" s="17"/>
      <c r="D20" s="17"/>
      <c r="E20" s="17"/>
      <c r="F20" s="17"/>
      <c r="G20" s="17">
        <v>2472</v>
      </c>
      <c r="H20" s="17">
        <v>2010</v>
      </c>
      <c r="I20" s="17"/>
      <c r="J20" s="17"/>
      <c r="K20" s="17"/>
      <c r="L20" s="17"/>
    </row>
    <row r="21" spans="1:12" x14ac:dyDescent="0.35">
      <c r="A21" s="16" t="s">
        <v>64</v>
      </c>
      <c r="B21" s="17"/>
      <c r="C21" s="17"/>
      <c r="D21" s="17"/>
      <c r="E21" s="17"/>
      <c r="F21" s="17">
        <v>1068</v>
      </c>
      <c r="G21" s="17">
        <v>7788</v>
      </c>
      <c r="H21" s="17">
        <v>1179</v>
      </c>
      <c r="I21" s="17">
        <v>174</v>
      </c>
      <c r="J21" s="17"/>
      <c r="K21" s="17"/>
      <c r="L21" s="17"/>
    </row>
    <row r="22" spans="1:12" x14ac:dyDescent="0.35">
      <c r="A22" s="16" t="s">
        <v>65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12" x14ac:dyDescent="0.35">
      <c r="A23" s="16" t="s">
        <v>66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35">
      <c r="A24" s="18" t="s">
        <v>67</v>
      </c>
      <c r="B24" s="19"/>
      <c r="C24" s="19"/>
      <c r="D24" s="19"/>
      <c r="E24" s="19">
        <f>E19+E20+E21+E22+E23</f>
        <v>3491737</v>
      </c>
      <c r="F24" s="19">
        <f>F19+F20+F21+F22+F23</f>
        <v>10701770</v>
      </c>
      <c r="G24" s="19">
        <f>G19+G20+G21+G22+G23</f>
        <v>9139141</v>
      </c>
      <c r="H24" s="19">
        <f>H19+H20+H21+H22+H23</f>
        <v>4958365</v>
      </c>
      <c r="I24" s="19">
        <f>I19+I20+I21+I22+I23</f>
        <v>2296313</v>
      </c>
      <c r="J24" s="19"/>
      <c r="K24" s="19"/>
      <c r="L24" s="19"/>
    </row>
    <row r="25" spans="1:12" x14ac:dyDescent="0.35">
      <c r="A25" s="14" t="s">
        <v>68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x14ac:dyDescent="0.35">
      <c r="A26" s="16" t="s">
        <v>69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2" x14ac:dyDescent="0.35">
      <c r="A27" s="16" t="s">
        <v>70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 x14ac:dyDescent="0.35">
      <c r="A28" s="16" t="s">
        <v>71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 x14ac:dyDescent="0.35">
      <c r="A29" s="16" t="s">
        <v>72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x14ac:dyDescent="0.35">
      <c r="A30" s="16" t="s">
        <v>73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x14ac:dyDescent="0.35">
      <c r="A31" s="18" t="s">
        <v>74</v>
      </c>
      <c r="B31" s="19"/>
      <c r="C31" s="19"/>
      <c r="D31" s="19"/>
      <c r="E31" s="19">
        <f>E26+E27+E28+E29+E30</f>
        <v>0</v>
      </c>
      <c r="F31" s="19">
        <f>F26+F27+F28+F29+F30</f>
        <v>0</v>
      </c>
      <c r="G31" s="19">
        <f>G26+G27+G28+G29+G30</f>
        <v>0</v>
      </c>
      <c r="H31" s="19">
        <f>H26+H27+H28+H29+H30</f>
        <v>0</v>
      </c>
      <c r="I31" s="19">
        <f>I26+I27+I28+I29+I30</f>
        <v>0</v>
      </c>
      <c r="J31" s="19"/>
      <c r="K31" s="19"/>
      <c r="L31" s="19"/>
    </row>
    <row r="32" spans="1:12" x14ac:dyDescent="0.35">
      <c r="A32" s="14" t="s">
        <v>75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x14ac:dyDescent="0.35">
      <c r="A33" s="16" t="s">
        <v>76</v>
      </c>
      <c r="B33" s="17"/>
      <c r="C33" s="17"/>
      <c r="D33" s="17"/>
      <c r="E33" s="17"/>
      <c r="F33" s="17"/>
      <c r="G33" s="17">
        <v>338</v>
      </c>
      <c r="H33" s="17">
        <v>337</v>
      </c>
      <c r="I33" s="17"/>
      <c r="J33" s="17"/>
      <c r="K33" s="17"/>
      <c r="L33" s="17"/>
    </row>
    <row r="34" spans="1:12" x14ac:dyDescent="0.35">
      <c r="A34" s="16" t="s">
        <v>77</v>
      </c>
      <c r="B34" s="17"/>
      <c r="C34" s="17"/>
      <c r="D34" s="17"/>
      <c r="E34" s="17">
        <v>50146818</v>
      </c>
      <c r="F34" s="17">
        <v>59978057</v>
      </c>
      <c r="G34" s="17">
        <v>63838009</v>
      </c>
      <c r="H34" s="17">
        <v>20496834</v>
      </c>
      <c r="I34" s="17">
        <v>6944732</v>
      </c>
      <c r="J34" s="17"/>
      <c r="K34" s="17"/>
      <c r="L34" s="17"/>
    </row>
    <row r="35" spans="1:12" x14ac:dyDescent="0.35">
      <c r="A35" s="16" t="s">
        <v>78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35">
      <c r="A36" s="16" t="s">
        <v>79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x14ac:dyDescent="0.35">
      <c r="A37" s="16" t="s">
        <v>80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x14ac:dyDescent="0.35">
      <c r="A38" s="18" t="s">
        <v>81</v>
      </c>
      <c r="B38" s="19"/>
      <c r="C38" s="19"/>
      <c r="D38" s="19"/>
      <c r="E38" s="19">
        <f>E33+E34+E35+E36+E37</f>
        <v>50146818</v>
      </c>
      <c r="F38" s="19">
        <f>F33+F34+F35+F36+F37</f>
        <v>59978057</v>
      </c>
      <c r="G38" s="19">
        <f>G33+G34+G35+G36+G37</f>
        <v>63838347</v>
      </c>
      <c r="H38" s="19">
        <f>H33+H34+H35+H36+H37</f>
        <v>20497171</v>
      </c>
      <c r="I38" s="19">
        <f>I33+I34+I35+I36+I37</f>
        <v>6944732</v>
      </c>
      <c r="J38" s="19"/>
      <c r="K38" s="19"/>
      <c r="L38" s="19"/>
    </row>
    <row r="39" spans="1:12" x14ac:dyDescent="0.35">
      <c r="A39" s="18" t="s">
        <v>82</v>
      </c>
      <c r="B39" s="19"/>
      <c r="C39" s="19"/>
      <c r="D39" s="19"/>
      <c r="E39" s="19">
        <f>E24+E31+E38</f>
        <v>53638555</v>
      </c>
      <c r="F39" s="19">
        <f>F24+F31+F38</f>
        <v>70679827</v>
      </c>
      <c r="G39" s="19">
        <f>G24+G31+G38</f>
        <v>72977488</v>
      </c>
      <c r="H39" s="19">
        <f>H24+H31+H38</f>
        <v>25455536</v>
      </c>
      <c r="I39" s="19">
        <f>I24+I31+I38</f>
        <v>9241045</v>
      </c>
      <c r="J39" s="19"/>
      <c r="K39" s="19"/>
      <c r="L39" s="19"/>
    </row>
    <row r="41" spans="1:12" x14ac:dyDescent="0.35">
      <c r="A41" s="20" t="s">
        <v>83</v>
      </c>
      <c r="B41" s="21"/>
      <c r="C41" s="21"/>
      <c r="D41" s="21"/>
      <c r="E41" s="21">
        <f>E17-E39</f>
        <v>0</v>
      </c>
      <c r="F41" s="21">
        <f>F17-F39</f>
        <v>0</v>
      </c>
      <c r="G41" s="21">
        <f>G17-G39</f>
        <v>0</v>
      </c>
      <c r="H41" s="21">
        <f>H17-H39</f>
        <v>0</v>
      </c>
      <c r="I41" s="21">
        <f>I17-I39</f>
        <v>0</v>
      </c>
      <c r="J41" s="21"/>
      <c r="K41" s="21"/>
      <c r="L41" s="2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1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52" customWidth="1"/>
    <col min="2" max="12" width="15" customWidth="1"/>
  </cols>
  <sheetData>
    <row r="1" spans="1:12" ht="16.5" x14ac:dyDescent="0.35">
      <c r="A1" s="10" t="s">
        <v>0</v>
      </c>
    </row>
    <row r="2" spans="1:12" x14ac:dyDescent="0.35">
      <c r="A2" s="4" t="s">
        <v>46</v>
      </c>
    </row>
    <row r="3" spans="1:12" x14ac:dyDescent="0.35">
      <c r="A3" s="11" t="s">
        <v>88</v>
      </c>
    </row>
    <row r="5" spans="1:12" x14ac:dyDescent="0.35">
      <c r="A5" s="12" t="s">
        <v>48</v>
      </c>
      <c r="B5" s="13" t="s">
        <v>12</v>
      </c>
      <c r="C5" s="13" t="s">
        <v>13</v>
      </c>
      <c r="D5" s="13" t="s">
        <v>14</v>
      </c>
      <c r="E5" s="13" t="s">
        <v>15</v>
      </c>
      <c r="F5" s="13" t="s">
        <v>16</v>
      </c>
      <c r="G5" s="13" t="s">
        <v>17</v>
      </c>
      <c r="H5" s="13" t="s">
        <v>18</v>
      </c>
      <c r="I5" s="13" t="s">
        <v>19</v>
      </c>
      <c r="J5" s="13" t="s">
        <v>20</v>
      </c>
      <c r="K5" s="13" t="s">
        <v>21</v>
      </c>
      <c r="L5" s="13" t="s">
        <v>22</v>
      </c>
    </row>
    <row r="6" spans="1:12" x14ac:dyDescent="0.35">
      <c r="A6" s="14" t="s">
        <v>49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x14ac:dyDescent="0.35">
      <c r="A7" s="16" t="s">
        <v>50</v>
      </c>
      <c r="B7" s="17"/>
      <c r="C7" s="17"/>
      <c r="D7" s="17"/>
      <c r="E7" s="17"/>
      <c r="F7" s="17"/>
      <c r="G7" s="17"/>
      <c r="H7" s="17"/>
      <c r="I7" s="17"/>
      <c r="J7" s="17"/>
      <c r="K7" s="17">
        <v>13077609</v>
      </c>
      <c r="L7" s="17">
        <v>5560131.4000000004</v>
      </c>
    </row>
    <row r="8" spans="1:12" x14ac:dyDescent="0.35">
      <c r="A8" s="16" t="s">
        <v>51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x14ac:dyDescent="0.35">
      <c r="A9" s="16" t="s">
        <v>52</v>
      </c>
      <c r="B9" s="17"/>
      <c r="C9" s="17"/>
      <c r="D9" s="17"/>
      <c r="E9" s="17"/>
      <c r="F9" s="17"/>
      <c r="G9" s="17"/>
      <c r="H9" s="17"/>
      <c r="I9" s="17"/>
      <c r="J9" s="17"/>
      <c r="K9" s="17">
        <v>76047</v>
      </c>
      <c r="L9" s="17">
        <v>58601.09</v>
      </c>
    </row>
    <row r="10" spans="1:12" x14ac:dyDescent="0.35">
      <c r="A10" s="16" t="s">
        <v>53</v>
      </c>
      <c r="B10" s="17"/>
      <c r="C10" s="17"/>
      <c r="D10" s="17"/>
      <c r="E10" s="17"/>
      <c r="F10" s="17"/>
      <c r="G10" s="17"/>
      <c r="H10" s="17"/>
      <c r="I10" s="17"/>
      <c r="J10" s="17"/>
      <c r="K10" s="17">
        <v>13000005</v>
      </c>
      <c r="L10" s="17">
        <v>12942151.08</v>
      </c>
    </row>
    <row r="11" spans="1:12" x14ac:dyDescent="0.35">
      <c r="A11" s="16" t="s">
        <v>54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x14ac:dyDescent="0.35">
      <c r="A12" s="16" t="s">
        <v>55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x14ac:dyDescent="0.35">
      <c r="A13" s="16" t="s">
        <v>56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 x14ac:dyDescent="0.35">
      <c r="A14" s="16" t="s">
        <v>57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x14ac:dyDescent="0.35">
      <c r="A15" s="16" t="s">
        <v>58</v>
      </c>
      <c r="B15" s="17"/>
      <c r="C15" s="17"/>
      <c r="D15" s="17"/>
      <c r="E15" s="17"/>
      <c r="F15" s="17"/>
      <c r="G15" s="17"/>
      <c r="H15" s="17"/>
      <c r="I15" s="17"/>
      <c r="J15" s="17"/>
      <c r="K15" s="17">
        <v>12788</v>
      </c>
      <c r="L15" s="17"/>
    </row>
    <row r="16" spans="1:12" x14ac:dyDescent="0.35">
      <c r="A16" s="16" t="s">
        <v>59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1:12" x14ac:dyDescent="0.35">
      <c r="A17" s="18" t="s">
        <v>60</v>
      </c>
      <c r="B17" s="19"/>
      <c r="C17" s="19"/>
      <c r="D17" s="19"/>
      <c r="E17" s="19"/>
      <c r="F17" s="19"/>
      <c r="G17" s="19"/>
      <c r="H17" s="19"/>
      <c r="I17" s="19"/>
      <c r="J17" s="19"/>
      <c r="K17" s="19">
        <f>K7+K8+K9+K10+K11+K12+K13+K14+K15+K16</f>
        <v>26166449</v>
      </c>
      <c r="L17" s="19">
        <f>L7+L8+L9+L10+L11+L12+L13+L14+L15+L16</f>
        <v>18560883.57</v>
      </c>
    </row>
    <row r="18" spans="1:12" x14ac:dyDescent="0.35">
      <c r="A18" s="14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35">
      <c r="A19" s="16" t="s">
        <v>62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x14ac:dyDescent="0.35">
      <c r="A20" s="16" t="s">
        <v>63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1:12" x14ac:dyDescent="0.35">
      <c r="A21" s="16" t="s">
        <v>64</v>
      </c>
      <c r="B21" s="17"/>
      <c r="C21" s="17"/>
      <c r="D21" s="17"/>
      <c r="E21" s="17"/>
      <c r="F21" s="17"/>
      <c r="G21" s="17"/>
      <c r="H21" s="17"/>
      <c r="I21" s="17"/>
      <c r="J21" s="17"/>
      <c r="K21" s="17">
        <v>11373033</v>
      </c>
      <c r="L21" s="17"/>
    </row>
    <row r="22" spans="1:12" x14ac:dyDescent="0.35">
      <c r="A22" s="16" t="s">
        <v>65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12" x14ac:dyDescent="0.35">
      <c r="A23" s="16" t="s">
        <v>66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35">
      <c r="A24" s="18" t="s">
        <v>67</v>
      </c>
      <c r="B24" s="19"/>
      <c r="C24" s="19"/>
      <c r="D24" s="19"/>
      <c r="E24" s="19"/>
      <c r="F24" s="19"/>
      <c r="G24" s="19"/>
      <c r="H24" s="19"/>
      <c r="I24" s="19"/>
      <c r="J24" s="19"/>
      <c r="K24" s="19">
        <f>K19+K20+K21+K22+K23</f>
        <v>11373033</v>
      </c>
      <c r="L24" s="19">
        <f>L19+L20+L21+L22+L23</f>
        <v>0</v>
      </c>
    </row>
    <row r="25" spans="1:12" x14ac:dyDescent="0.35">
      <c r="A25" s="14" t="s">
        <v>68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x14ac:dyDescent="0.35">
      <c r="A26" s="16" t="s">
        <v>69</v>
      </c>
      <c r="B26" s="17"/>
      <c r="C26" s="17"/>
      <c r="D26" s="17"/>
      <c r="E26" s="17"/>
      <c r="F26" s="17"/>
      <c r="G26" s="17"/>
      <c r="H26" s="17"/>
      <c r="I26" s="17"/>
      <c r="J26" s="17"/>
      <c r="K26" s="17">
        <v>13000005</v>
      </c>
      <c r="L26" s="17">
        <v>12942151.08</v>
      </c>
    </row>
    <row r="27" spans="1:12" x14ac:dyDescent="0.35">
      <c r="A27" s="16" t="s">
        <v>70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 x14ac:dyDescent="0.35">
      <c r="A28" s="16" t="s">
        <v>71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 x14ac:dyDescent="0.35">
      <c r="A29" s="16" t="s">
        <v>72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x14ac:dyDescent="0.35">
      <c r="A30" s="16" t="s">
        <v>73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x14ac:dyDescent="0.35">
      <c r="A31" s="18" t="s">
        <v>74</v>
      </c>
      <c r="B31" s="19"/>
      <c r="C31" s="19"/>
      <c r="D31" s="19"/>
      <c r="E31" s="19"/>
      <c r="F31" s="19"/>
      <c r="G31" s="19"/>
      <c r="H31" s="19"/>
      <c r="I31" s="19"/>
      <c r="J31" s="19"/>
      <c r="K31" s="19">
        <f>K26+K27+K28+K29+K30</f>
        <v>13000005</v>
      </c>
      <c r="L31" s="19">
        <f>L26+L27+L28+L29+L30</f>
        <v>12942151.08</v>
      </c>
    </row>
    <row r="32" spans="1:12" x14ac:dyDescent="0.35">
      <c r="A32" s="14" t="s">
        <v>75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x14ac:dyDescent="0.35">
      <c r="A33" s="16" t="s">
        <v>76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x14ac:dyDescent="0.35">
      <c r="A34" s="16" t="s">
        <v>77</v>
      </c>
      <c r="B34" s="17"/>
      <c r="C34" s="17"/>
      <c r="D34" s="17"/>
      <c r="E34" s="17"/>
      <c r="F34" s="17"/>
      <c r="G34" s="17"/>
      <c r="H34" s="17"/>
      <c r="I34" s="17"/>
      <c r="J34" s="17"/>
      <c r="K34" s="17">
        <v>1793411</v>
      </c>
      <c r="L34" s="17">
        <v>5618732.4900000002</v>
      </c>
    </row>
    <row r="35" spans="1:12" x14ac:dyDescent="0.35">
      <c r="A35" s="16" t="s">
        <v>78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35">
      <c r="A36" s="16" t="s">
        <v>79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x14ac:dyDescent="0.35">
      <c r="A37" s="16" t="s">
        <v>80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x14ac:dyDescent="0.35">
      <c r="A38" s="18" t="s">
        <v>81</v>
      </c>
      <c r="B38" s="19"/>
      <c r="C38" s="19"/>
      <c r="D38" s="19"/>
      <c r="E38" s="19"/>
      <c r="F38" s="19"/>
      <c r="G38" s="19"/>
      <c r="H38" s="19"/>
      <c r="I38" s="19"/>
      <c r="J38" s="19"/>
      <c r="K38" s="19">
        <f>K33+K34+K35+K36+K37</f>
        <v>1793411</v>
      </c>
      <c r="L38" s="19">
        <f>L33+L34+L35+L36+L37</f>
        <v>5618732.4900000002</v>
      </c>
    </row>
    <row r="39" spans="1:12" x14ac:dyDescent="0.35">
      <c r="A39" s="18" t="s">
        <v>82</v>
      </c>
      <c r="B39" s="19"/>
      <c r="C39" s="19"/>
      <c r="D39" s="19"/>
      <c r="E39" s="19"/>
      <c r="F39" s="19"/>
      <c r="G39" s="19"/>
      <c r="H39" s="19"/>
      <c r="I39" s="19"/>
      <c r="J39" s="19"/>
      <c r="K39" s="19">
        <f>K24+K31+K38</f>
        <v>26166449</v>
      </c>
      <c r="L39" s="19">
        <f>L24+L31+L38</f>
        <v>18560883.57</v>
      </c>
    </row>
    <row r="41" spans="1:12" x14ac:dyDescent="0.35">
      <c r="A41" s="20" t="s">
        <v>83</v>
      </c>
      <c r="B41" s="21"/>
      <c r="C41" s="21"/>
      <c r="D41" s="21"/>
      <c r="E41" s="21"/>
      <c r="F41" s="21"/>
      <c r="G41" s="21"/>
      <c r="H41" s="21"/>
      <c r="I41" s="21"/>
      <c r="J41" s="21"/>
      <c r="K41" s="21">
        <f>K17-K39</f>
        <v>0</v>
      </c>
      <c r="L41" s="21">
        <f>L17-L39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1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52" customWidth="1"/>
    <col min="2" max="12" width="15" customWidth="1"/>
  </cols>
  <sheetData>
    <row r="1" spans="1:12" ht="16.5" x14ac:dyDescent="0.35">
      <c r="A1" s="10" t="s">
        <v>0</v>
      </c>
    </row>
    <row r="2" spans="1:12" x14ac:dyDescent="0.35">
      <c r="A2" s="4" t="s">
        <v>46</v>
      </c>
    </row>
    <row r="3" spans="1:12" x14ac:dyDescent="0.35">
      <c r="A3" s="11" t="s">
        <v>89</v>
      </c>
    </row>
    <row r="5" spans="1:12" x14ac:dyDescent="0.35">
      <c r="A5" s="12" t="s">
        <v>48</v>
      </c>
      <c r="B5" s="13" t="s">
        <v>12</v>
      </c>
      <c r="C5" s="13" t="s">
        <v>13</v>
      </c>
      <c r="D5" s="13" t="s">
        <v>14</v>
      </c>
      <c r="E5" s="13" t="s">
        <v>15</v>
      </c>
      <c r="F5" s="13" t="s">
        <v>16</v>
      </c>
      <c r="G5" s="13" t="s">
        <v>17</v>
      </c>
      <c r="H5" s="13" t="s">
        <v>18</v>
      </c>
      <c r="I5" s="13" t="s">
        <v>19</v>
      </c>
      <c r="J5" s="13" t="s">
        <v>20</v>
      </c>
      <c r="K5" s="13" t="s">
        <v>21</v>
      </c>
      <c r="L5" s="13" t="s">
        <v>22</v>
      </c>
    </row>
    <row r="6" spans="1:12" x14ac:dyDescent="0.35">
      <c r="A6" s="14" t="s">
        <v>49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x14ac:dyDescent="0.35">
      <c r="A7" s="16" t="s">
        <v>50</v>
      </c>
      <c r="B7" s="17">
        <v>3353218</v>
      </c>
      <c r="C7" s="17">
        <v>3373663</v>
      </c>
      <c r="D7" s="17">
        <v>3448648</v>
      </c>
      <c r="E7" s="17">
        <v>4041715</v>
      </c>
      <c r="F7" s="17">
        <v>3610902</v>
      </c>
      <c r="G7" s="17">
        <v>2440352</v>
      </c>
      <c r="H7" s="17">
        <v>2899975</v>
      </c>
      <c r="I7" s="17">
        <v>1742298</v>
      </c>
      <c r="J7" s="17">
        <v>3827639</v>
      </c>
      <c r="K7" s="17">
        <v>1873480</v>
      </c>
      <c r="L7" s="17">
        <v>1009917.3</v>
      </c>
    </row>
    <row r="8" spans="1:12" x14ac:dyDescent="0.35">
      <c r="A8" s="16" t="s">
        <v>51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x14ac:dyDescent="0.35">
      <c r="A9" s="16" t="s">
        <v>52</v>
      </c>
      <c r="B9" s="17">
        <v>31520</v>
      </c>
      <c r="C9" s="17">
        <v>21532</v>
      </c>
      <c r="D9" s="17">
        <v>21161</v>
      </c>
      <c r="E9" s="17">
        <v>17918</v>
      </c>
      <c r="F9" s="17">
        <v>16643</v>
      </c>
      <c r="G9" s="17">
        <v>50840</v>
      </c>
      <c r="H9" s="17">
        <v>28898</v>
      </c>
      <c r="I9" s="17">
        <v>20869</v>
      </c>
      <c r="J9" s="17">
        <v>25460</v>
      </c>
      <c r="K9" s="17">
        <v>71252</v>
      </c>
      <c r="L9" s="17"/>
    </row>
    <row r="10" spans="1:12" x14ac:dyDescent="0.35">
      <c r="A10" s="16" t="s">
        <v>53</v>
      </c>
      <c r="B10" s="17">
        <v>6282567</v>
      </c>
      <c r="C10" s="17">
        <v>7371340</v>
      </c>
      <c r="D10" s="17">
        <v>7793380</v>
      </c>
      <c r="E10" s="17">
        <v>4699970</v>
      </c>
      <c r="F10" s="17">
        <v>7999987</v>
      </c>
      <c r="G10" s="17">
        <v>3749981</v>
      </c>
      <c r="H10" s="17">
        <v>6449990</v>
      </c>
      <c r="I10" s="17">
        <v>5200017</v>
      </c>
      <c r="J10" s="17">
        <v>13348019</v>
      </c>
      <c r="K10" s="17">
        <v>13468512</v>
      </c>
      <c r="L10" s="17"/>
    </row>
    <row r="11" spans="1:12" x14ac:dyDescent="0.35">
      <c r="A11" s="16" t="s">
        <v>54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x14ac:dyDescent="0.35">
      <c r="A12" s="16" t="s">
        <v>55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x14ac:dyDescent="0.35">
      <c r="A13" s="16" t="s">
        <v>56</v>
      </c>
      <c r="B13" s="17"/>
      <c r="C13" s="17"/>
      <c r="D13" s="17">
        <v>1500</v>
      </c>
      <c r="E13" s="17"/>
      <c r="F13" s="17">
        <v>33158</v>
      </c>
      <c r="G13" s="17">
        <v>27498</v>
      </c>
      <c r="H13" s="17">
        <v>9721</v>
      </c>
      <c r="I13" s="17">
        <v>40</v>
      </c>
      <c r="J13" s="17">
        <v>1007</v>
      </c>
      <c r="K13" s="17">
        <v>40</v>
      </c>
      <c r="L13" s="17">
        <v>40</v>
      </c>
    </row>
    <row r="14" spans="1:12" x14ac:dyDescent="0.35">
      <c r="A14" s="16" t="s">
        <v>57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x14ac:dyDescent="0.35">
      <c r="A15" s="16" t="s">
        <v>58</v>
      </c>
      <c r="B15" s="17"/>
      <c r="C15" s="17">
        <v>89648</v>
      </c>
      <c r="D15" s="17"/>
      <c r="E15" s="17">
        <v>700</v>
      </c>
      <c r="F15" s="17"/>
      <c r="G15" s="17">
        <v>54494</v>
      </c>
      <c r="H15" s="17">
        <v>830</v>
      </c>
      <c r="I15" s="17">
        <v>1700</v>
      </c>
      <c r="J15" s="17">
        <v>159383</v>
      </c>
      <c r="K15" s="17"/>
      <c r="L15" s="17">
        <v>408.62</v>
      </c>
    </row>
    <row r="16" spans="1:12" x14ac:dyDescent="0.35">
      <c r="A16" s="16" t="s">
        <v>59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1:12" x14ac:dyDescent="0.35">
      <c r="A17" s="18" t="s">
        <v>60</v>
      </c>
      <c r="B17" s="19">
        <f t="shared" ref="B17:L17" si="0">B7+B8+B9+B10+B11+B12+B13+B14+B15+B16</f>
        <v>9667305</v>
      </c>
      <c r="C17" s="19">
        <f t="shared" si="0"/>
        <v>10856183</v>
      </c>
      <c r="D17" s="19">
        <f t="shared" si="0"/>
        <v>11264689</v>
      </c>
      <c r="E17" s="19">
        <f t="shared" si="0"/>
        <v>8760303</v>
      </c>
      <c r="F17" s="19">
        <f t="shared" si="0"/>
        <v>11660690</v>
      </c>
      <c r="G17" s="19">
        <f t="shared" si="0"/>
        <v>6323165</v>
      </c>
      <c r="H17" s="19">
        <f t="shared" si="0"/>
        <v>9389414</v>
      </c>
      <c r="I17" s="19">
        <f t="shared" si="0"/>
        <v>6964924</v>
      </c>
      <c r="J17" s="19">
        <f t="shared" si="0"/>
        <v>17361508</v>
      </c>
      <c r="K17" s="19">
        <f t="shared" si="0"/>
        <v>15413284</v>
      </c>
      <c r="L17" s="19">
        <f t="shared" si="0"/>
        <v>1010365.92</v>
      </c>
    </row>
    <row r="18" spans="1:12" x14ac:dyDescent="0.35">
      <c r="A18" s="14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35">
      <c r="A19" s="16" t="s">
        <v>62</v>
      </c>
      <c r="B19" s="17">
        <v>109362</v>
      </c>
      <c r="C19" s="17">
        <v>149198</v>
      </c>
      <c r="D19" s="17">
        <v>209510</v>
      </c>
      <c r="E19" s="17">
        <v>304226</v>
      </c>
      <c r="F19" s="17">
        <v>86825</v>
      </c>
      <c r="G19" s="17">
        <v>146127</v>
      </c>
      <c r="H19" s="17">
        <v>151862</v>
      </c>
      <c r="I19" s="17">
        <v>136184</v>
      </c>
      <c r="J19" s="17">
        <v>280524</v>
      </c>
      <c r="K19" s="17">
        <v>3371</v>
      </c>
      <c r="L19" s="17">
        <v>35511.589999999997</v>
      </c>
    </row>
    <row r="20" spans="1:12" x14ac:dyDescent="0.35">
      <c r="A20" s="16" t="s">
        <v>63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1:12" x14ac:dyDescent="0.35">
      <c r="A21" s="16" t="s">
        <v>64</v>
      </c>
      <c r="B21" s="17">
        <v>57847</v>
      </c>
      <c r="C21" s="17">
        <v>1503</v>
      </c>
      <c r="D21" s="17">
        <v>12828</v>
      </c>
      <c r="E21" s="17">
        <v>31783</v>
      </c>
      <c r="F21" s="17">
        <v>18778</v>
      </c>
      <c r="G21" s="17"/>
      <c r="H21" s="17">
        <v>476363</v>
      </c>
      <c r="I21" s="17">
        <v>336237</v>
      </c>
      <c r="J21" s="17">
        <v>87958</v>
      </c>
      <c r="K21" s="17">
        <v>1547982</v>
      </c>
      <c r="L21" s="17">
        <v>974854.33</v>
      </c>
    </row>
    <row r="22" spans="1:12" x14ac:dyDescent="0.35">
      <c r="A22" s="16" t="s">
        <v>65</v>
      </c>
      <c r="B22" s="17"/>
      <c r="C22" s="17"/>
      <c r="D22" s="17"/>
      <c r="E22" s="17"/>
      <c r="F22" s="17">
        <v>1103</v>
      </c>
      <c r="G22" s="17"/>
      <c r="H22" s="17"/>
      <c r="I22" s="17"/>
      <c r="J22" s="17"/>
      <c r="K22" s="17"/>
      <c r="L22" s="17"/>
    </row>
    <row r="23" spans="1:12" x14ac:dyDescent="0.35">
      <c r="A23" s="16" t="s">
        <v>66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35">
      <c r="A24" s="18" t="s">
        <v>67</v>
      </c>
      <c r="B24" s="19">
        <f t="shared" ref="B24:L24" si="1">B19+B20+B21+B22+B23</f>
        <v>167209</v>
      </c>
      <c r="C24" s="19">
        <f t="shared" si="1"/>
        <v>150701</v>
      </c>
      <c r="D24" s="19">
        <f t="shared" si="1"/>
        <v>222338</v>
      </c>
      <c r="E24" s="19">
        <f t="shared" si="1"/>
        <v>336009</v>
      </c>
      <c r="F24" s="19">
        <f t="shared" si="1"/>
        <v>106706</v>
      </c>
      <c r="G24" s="19">
        <f t="shared" si="1"/>
        <v>146127</v>
      </c>
      <c r="H24" s="19">
        <f t="shared" si="1"/>
        <v>628225</v>
      </c>
      <c r="I24" s="19">
        <f t="shared" si="1"/>
        <v>472421</v>
      </c>
      <c r="J24" s="19">
        <f t="shared" si="1"/>
        <v>368482</v>
      </c>
      <c r="K24" s="19">
        <f t="shared" si="1"/>
        <v>1551353</v>
      </c>
      <c r="L24" s="19">
        <f t="shared" si="1"/>
        <v>1010365.9199999999</v>
      </c>
    </row>
    <row r="25" spans="1:12" x14ac:dyDescent="0.35">
      <c r="A25" s="14" t="s">
        <v>68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x14ac:dyDescent="0.35">
      <c r="A26" s="16" t="s">
        <v>69</v>
      </c>
      <c r="B26" s="17">
        <v>6282567</v>
      </c>
      <c r="C26" s="17">
        <v>7371340</v>
      </c>
      <c r="D26" s="17">
        <v>7793380</v>
      </c>
      <c r="E26" s="17">
        <v>4699970</v>
      </c>
      <c r="F26" s="17">
        <v>7999987</v>
      </c>
      <c r="G26" s="17">
        <v>3749981</v>
      </c>
      <c r="H26" s="17">
        <v>6468845</v>
      </c>
      <c r="I26" s="17">
        <v>5200017</v>
      </c>
      <c r="J26" s="17">
        <v>13348019</v>
      </c>
      <c r="K26" s="17">
        <v>13468512</v>
      </c>
      <c r="L26" s="17"/>
    </row>
    <row r="27" spans="1:12" x14ac:dyDescent="0.35">
      <c r="A27" s="16" t="s">
        <v>70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 x14ac:dyDescent="0.35">
      <c r="A28" s="16" t="s">
        <v>71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 x14ac:dyDescent="0.35">
      <c r="A29" s="16" t="s">
        <v>72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x14ac:dyDescent="0.35">
      <c r="A30" s="16" t="s">
        <v>73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x14ac:dyDescent="0.35">
      <c r="A31" s="18" t="s">
        <v>74</v>
      </c>
      <c r="B31" s="19">
        <f t="shared" ref="B31:L31" si="2">B26+B27+B28+B29+B30</f>
        <v>6282567</v>
      </c>
      <c r="C31" s="19">
        <f t="shared" si="2"/>
        <v>7371340</v>
      </c>
      <c r="D31" s="19">
        <f t="shared" si="2"/>
        <v>7793380</v>
      </c>
      <c r="E31" s="19">
        <f t="shared" si="2"/>
        <v>4699970</v>
      </c>
      <c r="F31" s="19">
        <f t="shared" si="2"/>
        <v>7999987</v>
      </c>
      <c r="G31" s="19">
        <f t="shared" si="2"/>
        <v>3749981</v>
      </c>
      <c r="H31" s="19">
        <f t="shared" si="2"/>
        <v>6468845</v>
      </c>
      <c r="I31" s="19">
        <f t="shared" si="2"/>
        <v>5200017</v>
      </c>
      <c r="J31" s="19">
        <f t="shared" si="2"/>
        <v>13348019</v>
      </c>
      <c r="K31" s="19">
        <f t="shared" si="2"/>
        <v>13468512</v>
      </c>
      <c r="L31" s="19">
        <f t="shared" si="2"/>
        <v>0</v>
      </c>
    </row>
    <row r="32" spans="1:12" x14ac:dyDescent="0.35">
      <c r="A32" s="14" t="s">
        <v>75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x14ac:dyDescent="0.35">
      <c r="A33" s="16" t="s">
        <v>76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x14ac:dyDescent="0.35">
      <c r="A34" s="16" t="s">
        <v>77</v>
      </c>
      <c r="B34" s="17">
        <v>3217529</v>
      </c>
      <c r="C34" s="17">
        <v>3334142</v>
      </c>
      <c r="D34" s="17">
        <v>3248971</v>
      </c>
      <c r="E34" s="17">
        <v>3724324</v>
      </c>
      <c r="F34" s="17">
        <v>3553997</v>
      </c>
      <c r="G34" s="17">
        <v>2427057</v>
      </c>
      <c r="H34" s="17">
        <v>2292344</v>
      </c>
      <c r="I34" s="17">
        <v>1292486</v>
      </c>
      <c r="J34" s="17">
        <v>3645007</v>
      </c>
      <c r="K34" s="17">
        <v>1376800</v>
      </c>
      <c r="L34" s="17"/>
    </row>
    <row r="35" spans="1:12" x14ac:dyDescent="0.35">
      <c r="A35" s="16" t="s">
        <v>78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35">
      <c r="A36" s="16" t="s">
        <v>79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x14ac:dyDescent="0.35">
      <c r="A37" s="16" t="s">
        <v>80</v>
      </c>
      <c r="B37" s="17"/>
      <c r="C37" s="17"/>
      <c r="D37" s="17"/>
      <c r="E37" s="17"/>
      <c r="F37" s="17"/>
      <c r="G37" s="17"/>
      <c r="H37" s="17"/>
      <c r="I37" s="17"/>
      <c r="J37" s="17"/>
      <c r="K37" s="17">
        <v>-983381</v>
      </c>
      <c r="L37" s="17"/>
    </row>
    <row r="38" spans="1:12" x14ac:dyDescent="0.35">
      <c r="A38" s="18" t="s">
        <v>81</v>
      </c>
      <c r="B38" s="19">
        <f t="shared" ref="B38:L38" si="3">B33+B34+B35+B36+B37</f>
        <v>3217529</v>
      </c>
      <c r="C38" s="19">
        <f t="shared" si="3"/>
        <v>3334142</v>
      </c>
      <c r="D38" s="19">
        <f t="shared" si="3"/>
        <v>3248971</v>
      </c>
      <c r="E38" s="19">
        <f t="shared" si="3"/>
        <v>3724324</v>
      </c>
      <c r="F38" s="19">
        <f t="shared" si="3"/>
        <v>3553997</v>
      </c>
      <c r="G38" s="19">
        <f t="shared" si="3"/>
        <v>2427057</v>
      </c>
      <c r="H38" s="19">
        <f t="shared" si="3"/>
        <v>2292344</v>
      </c>
      <c r="I38" s="19">
        <f t="shared" si="3"/>
        <v>1292486</v>
      </c>
      <c r="J38" s="19">
        <f t="shared" si="3"/>
        <v>3645007</v>
      </c>
      <c r="K38" s="19">
        <f t="shared" si="3"/>
        <v>393419</v>
      </c>
      <c r="L38" s="19">
        <f t="shared" si="3"/>
        <v>0</v>
      </c>
    </row>
    <row r="39" spans="1:12" x14ac:dyDescent="0.35">
      <c r="A39" s="18" t="s">
        <v>82</v>
      </c>
      <c r="B39" s="19">
        <f t="shared" ref="B39:L39" si="4">B24+B31+B38</f>
        <v>9667305</v>
      </c>
      <c r="C39" s="19">
        <f t="shared" si="4"/>
        <v>10856183</v>
      </c>
      <c r="D39" s="19">
        <f t="shared" si="4"/>
        <v>11264689</v>
      </c>
      <c r="E39" s="19">
        <f t="shared" si="4"/>
        <v>8760303</v>
      </c>
      <c r="F39" s="19">
        <f t="shared" si="4"/>
        <v>11660690</v>
      </c>
      <c r="G39" s="19">
        <f t="shared" si="4"/>
        <v>6323165</v>
      </c>
      <c r="H39" s="19">
        <f t="shared" si="4"/>
        <v>9389414</v>
      </c>
      <c r="I39" s="19">
        <f t="shared" si="4"/>
        <v>6964924</v>
      </c>
      <c r="J39" s="19">
        <f t="shared" si="4"/>
        <v>17361508</v>
      </c>
      <c r="K39" s="19">
        <f t="shared" si="4"/>
        <v>15413284</v>
      </c>
      <c r="L39" s="19">
        <f t="shared" si="4"/>
        <v>1010365.9199999999</v>
      </c>
    </row>
    <row r="41" spans="1:12" x14ac:dyDescent="0.35">
      <c r="A41" s="20" t="s">
        <v>83</v>
      </c>
      <c r="B41" s="21">
        <f t="shared" ref="B41:L41" si="5">B17-B39</f>
        <v>0</v>
      </c>
      <c r="C41" s="21">
        <f t="shared" si="5"/>
        <v>0</v>
      </c>
      <c r="D41" s="21">
        <f t="shared" si="5"/>
        <v>0</v>
      </c>
      <c r="E41" s="21">
        <f t="shared" si="5"/>
        <v>0</v>
      </c>
      <c r="F41" s="21">
        <f t="shared" si="5"/>
        <v>0</v>
      </c>
      <c r="G41" s="21">
        <f t="shared" si="5"/>
        <v>0</v>
      </c>
      <c r="H41" s="21">
        <f t="shared" si="5"/>
        <v>0</v>
      </c>
      <c r="I41" s="21">
        <f t="shared" si="5"/>
        <v>0</v>
      </c>
      <c r="J41" s="21">
        <f t="shared" si="5"/>
        <v>0</v>
      </c>
      <c r="K41" s="21">
        <f t="shared" si="5"/>
        <v>0</v>
      </c>
      <c r="L41" s="21">
        <f t="shared" si="5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1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52" customWidth="1"/>
    <col min="2" max="12" width="15" customWidth="1"/>
  </cols>
  <sheetData>
    <row r="1" spans="1:12" ht="16.5" x14ac:dyDescent="0.35">
      <c r="A1" s="10" t="s">
        <v>0</v>
      </c>
    </row>
    <row r="2" spans="1:12" x14ac:dyDescent="0.35">
      <c r="A2" s="4" t="s">
        <v>46</v>
      </c>
    </row>
    <row r="3" spans="1:12" x14ac:dyDescent="0.35">
      <c r="A3" s="11" t="s">
        <v>90</v>
      </c>
    </row>
    <row r="5" spans="1:12" x14ac:dyDescent="0.35">
      <c r="A5" s="12" t="s">
        <v>48</v>
      </c>
      <c r="B5" s="13" t="s">
        <v>12</v>
      </c>
      <c r="C5" s="13" t="s">
        <v>13</v>
      </c>
      <c r="D5" s="13" t="s">
        <v>14</v>
      </c>
      <c r="E5" s="13" t="s">
        <v>15</v>
      </c>
      <c r="F5" s="13" t="s">
        <v>16</v>
      </c>
      <c r="G5" s="13" t="s">
        <v>17</v>
      </c>
      <c r="H5" s="13" t="s">
        <v>18</v>
      </c>
      <c r="I5" s="13" t="s">
        <v>19</v>
      </c>
      <c r="J5" s="13" t="s">
        <v>20</v>
      </c>
      <c r="K5" s="13" t="s">
        <v>21</v>
      </c>
      <c r="L5" s="13" t="s">
        <v>22</v>
      </c>
    </row>
    <row r="6" spans="1:12" x14ac:dyDescent="0.35">
      <c r="A6" s="14" t="s">
        <v>49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x14ac:dyDescent="0.35">
      <c r="A7" s="16" t="s">
        <v>50</v>
      </c>
      <c r="B7" s="17">
        <v>48062202</v>
      </c>
      <c r="C7" s="17">
        <v>68266360</v>
      </c>
      <c r="D7" s="17">
        <v>48743834</v>
      </c>
      <c r="E7" s="17">
        <v>101813622</v>
      </c>
      <c r="F7" s="17">
        <v>106214649</v>
      </c>
      <c r="G7" s="17">
        <v>102590140</v>
      </c>
      <c r="H7" s="17">
        <v>53741496</v>
      </c>
      <c r="I7" s="17">
        <v>43253057</v>
      </c>
      <c r="J7" s="17">
        <v>35641582</v>
      </c>
      <c r="K7" s="17">
        <v>67238805</v>
      </c>
      <c r="L7" s="17">
        <v>69794072.909999996</v>
      </c>
    </row>
    <row r="8" spans="1:12" x14ac:dyDescent="0.35">
      <c r="A8" s="16" t="s">
        <v>51</v>
      </c>
      <c r="B8" s="17"/>
      <c r="C8" s="17">
        <v>5587205</v>
      </c>
      <c r="D8" s="17">
        <v>5587205</v>
      </c>
      <c r="E8" s="17">
        <v>5587205</v>
      </c>
      <c r="F8" s="17">
        <v>3205668</v>
      </c>
      <c r="G8" s="17">
        <v>2941742</v>
      </c>
      <c r="H8" s="17">
        <v>1770109</v>
      </c>
      <c r="I8" s="17">
        <v>2991866</v>
      </c>
      <c r="J8" s="17">
        <v>87438769</v>
      </c>
      <c r="K8" s="17"/>
      <c r="L8" s="17"/>
    </row>
    <row r="9" spans="1:12" x14ac:dyDescent="0.35">
      <c r="A9" s="16" t="s">
        <v>52</v>
      </c>
      <c r="B9" s="17">
        <v>301695</v>
      </c>
      <c r="C9" s="17">
        <v>252882</v>
      </c>
      <c r="D9" s="17">
        <v>222670</v>
      </c>
      <c r="E9" s="17">
        <v>318900</v>
      </c>
      <c r="F9" s="17">
        <v>325778</v>
      </c>
      <c r="G9" s="17">
        <v>670037</v>
      </c>
      <c r="H9" s="17">
        <v>788480</v>
      </c>
      <c r="I9" s="17">
        <v>335981</v>
      </c>
      <c r="J9" s="17">
        <v>517741</v>
      </c>
      <c r="K9" s="17">
        <v>646470</v>
      </c>
      <c r="L9" s="17">
        <v>567085.29</v>
      </c>
    </row>
    <row r="10" spans="1:12" x14ac:dyDescent="0.35">
      <c r="A10" s="16" t="s">
        <v>53</v>
      </c>
      <c r="B10" s="17">
        <v>72055630</v>
      </c>
      <c r="C10" s="17">
        <v>77594186</v>
      </c>
      <c r="D10" s="17">
        <v>80680381</v>
      </c>
      <c r="E10" s="17">
        <v>92349637</v>
      </c>
      <c r="F10" s="17">
        <v>95100386</v>
      </c>
      <c r="G10" s="17">
        <v>101481415</v>
      </c>
      <c r="H10" s="17">
        <v>104277094</v>
      </c>
      <c r="I10" s="17">
        <v>105515933</v>
      </c>
      <c r="J10" s="17">
        <v>114155995</v>
      </c>
      <c r="K10" s="17">
        <v>123621523</v>
      </c>
      <c r="L10" s="17">
        <v>123061960.95999999</v>
      </c>
    </row>
    <row r="11" spans="1:12" x14ac:dyDescent="0.35">
      <c r="A11" s="16" t="s">
        <v>54</v>
      </c>
      <c r="B11" s="17">
        <v>6270674</v>
      </c>
      <c r="C11" s="17">
        <v>6393586</v>
      </c>
      <c r="D11" s="17">
        <v>6816288</v>
      </c>
      <c r="E11" s="17">
        <v>6820672</v>
      </c>
      <c r="F11" s="17">
        <v>7117360</v>
      </c>
      <c r="G11" s="17">
        <v>7403410</v>
      </c>
      <c r="H11" s="17">
        <v>6692192</v>
      </c>
      <c r="I11" s="17">
        <v>7824520</v>
      </c>
      <c r="J11" s="17">
        <v>7976285</v>
      </c>
      <c r="K11" s="17">
        <v>6986431</v>
      </c>
      <c r="L11" s="17">
        <v>7070437</v>
      </c>
    </row>
    <row r="12" spans="1:12" x14ac:dyDescent="0.35">
      <c r="A12" s="16" t="s">
        <v>55</v>
      </c>
      <c r="B12" s="17">
        <v>600000</v>
      </c>
      <c r="C12" s="17">
        <v>500000</v>
      </c>
      <c r="D12" s="17">
        <v>520000</v>
      </c>
      <c r="E12" s="17">
        <v>670000</v>
      </c>
      <c r="F12" s="17">
        <v>424339</v>
      </c>
      <c r="G12" s="17">
        <v>434796</v>
      </c>
      <c r="H12" s="17">
        <v>2093103</v>
      </c>
      <c r="I12" s="17">
        <v>2400991</v>
      </c>
      <c r="J12" s="17"/>
      <c r="K12" s="17"/>
      <c r="L12" s="17"/>
    </row>
    <row r="13" spans="1:12" x14ac:dyDescent="0.35">
      <c r="A13" s="16" t="s">
        <v>56</v>
      </c>
      <c r="B13" s="17">
        <v>786056</v>
      </c>
      <c r="C13" s="17">
        <v>173561</v>
      </c>
      <c r="D13" s="17">
        <v>148616</v>
      </c>
      <c r="E13" s="17">
        <v>343272</v>
      </c>
      <c r="F13" s="17">
        <v>735878</v>
      </c>
      <c r="G13" s="17">
        <v>2183039</v>
      </c>
      <c r="H13" s="17">
        <v>1005905</v>
      </c>
      <c r="I13" s="17">
        <v>317278</v>
      </c>
      <c r="J13" s="17">
        <v>642090</v>
      </c>
      <c r="K13" s="17">
        <v>385169</v>
      </c>
      <c r="L13" s="17">
        <v>513823.4</v>
      </c>
    </row>
    <row r="14" spans="1:12" x14ac:dyDescent="0.35">
      <c r="A14" s="16" t="s">
        <v>57</v>
      </c>
      <c r="B14" s="17">
        <v>4084208</v>
      </c>
      <c r="C14" s="17">
        <v>4066887</v>
      </c>
      <c r="D14" s="17">
        <v>3055089</v>
      </c>
      <c r="E14" s="17">
        <v>3091483</v>
      </c>
      <c r="F14" s="17">
        <v>3528939</v>
      </c>
      <c r="G14" s="17">
        <v>3499277</v>
      </c>
      <c r="H14" s="17">
        <v>11676475</v>
      </c>
      <c r="I14" s="17">
        <v>8929977</v>
      </c>
      <c r="J14" s="17">
        <v>15610450</v>
      </c>
      <c r="K14" s="17">
        <v>7376662</v>
      </c>
      <c r="L14" s="17">
        <v>4562765.41</v>
      </c>
    </row>
    <row r="15" spans="1:12" x14ac:dyDescent="0.35">
      <c r="A15" s="16" t="s">
        <v>58</v>
      </c>
      <c r="B15" s="17">
        <v>1329952</v>
      </c>
      <c r="C15" s="17">
        <v>672133</v>
      </c>
      <c r="D15" s="17">
        <v>750616</v>
      </c>
      <c r="E15" s="17">
        <v>93840</v>
      </c>
      <c r="F15" s="17">
        <v>27801</v>
      </c>
      <c r="G15" s="17">
        <v>330488</v>
      </c>
      <c r="H15" s="17">
        <v>545145</v>
      </c>
      <c r="I15" s="17">
        <v>558626</v>
      </c>
      <c r="J15" s="17">
        <v>618139</v>
      </c>
      <c r="K15" s="17">
        <v>37598455</v>
      </c>
      <c r="L15" s="17">
        <v>974854.33</v>
      </c>
    </row>
    <row r="16" spans="1:12" x14ac:dyDescent="0.35">
      <c r="A16" s="16" t="s">
        <v>59</v>
      </c>
      <c r="B16" s="17">
        <v>1097341</v>
      </c>
      <c r="C16" s="17">
        <v>1128938</v>
      </c>
      <c r="D16" s="17">
        <v>1519927</v>
      </c>
      <c r="E16" s="17">
        <v>1533248</v>
      </c>
      <c r="F16" s="17">
        <v>1567063</v>
      </c>
      <c r="G16" s="17">
        <v>1650060</v>
      </c>
      <c r="H16" s="17">
        <v>1663387</v>
      </c>
      <c r="I16" s="17">
        <v>1870633</v>
      </c>
      <c r="J16" s="17">
        <v>1872795</v>
      </c>
      <c r="K16" s="17">
        <v>254296</v>
      </c>
      <c r="L16" s="17">
        <v>1337599.6000000001</v>
      </c>
    </row>
    <row r="17" spans="1:12" x14ac:dyDescent="0.35">
      <c r="A17" s="18" t="s">
        <v>60</v>
      </c>
      <c r="B17" s="19">
        <f t="shared" ref="B17:L17" si="0">B7+B8+B9+B10+B11+B12+B13+B14+B15+B16</f>
        <v>134587758</v>
      </c>
      <c r="C17" s="19">
        <f t="shared" si="0"/>
        <v>164635738</v>
      </c>
      <c r="D17" s="19">
        <f t="shared" si="0"/>
        <v>148044626</v>
      </c>
      <c r="E17" s="19">
        <f t="shared" si="0"/>
        <v>212621879</v>
      </c>
      <c r="F17" s="19">
        <f t="shared" si="0"/>
        <v>218247861</v>
      </c>
      <c r="G17" s="19">
        <f t="shared" si="0"/>
        <v>223184404</v>
      </c>
      <c r="H17" s="19">
        <f t="shared" si="0"/>
        <v>184253386</v>
      </c>
      <c r="I17" s="19">
        <f t="shared" si="0"/>
        <v>173998862</v>
      </c>
      <c r="J17" s="19">
        <f t="shared" si="0"/>
        <v>264473846</v>
      </c>
      <c r="K17" s="19">
        <f t="shared" si="0"/>
        <v>244107811</v>
      </c>
      <c r="L17" s="19">
        <f t="shared" si="0"/>
        <v>207882598.90000001</v>
      </c>
    </row>
    <row r="18" spans="1:12" x14ac:dyDescent="0.35">
      <c r="A18" s="14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35">
      <c r="A19" s="16" t="s">
        <v>62</v>
      </c>
      <c r="B19" s="17">
        <v>8802201</v>
      </c>
      <c r="C19" s="17">
        <v>11063984</v>
      </c>
      <c r="D19" s="17">
        <v>8379113</v>
      </c>
      <c r="E19" s="17">
        <v>10907201</v>
      </c>
      <c r="F19" s="17">
        <v>14128183</v>
      </c>
      <c r="G19" s="17">
        <v>13175361</v>
      </c>
      <c r="H19" s="17">
        <v>9464077</v>
      </c>
      <c r="I19" s="17">
        <v>5887165</v>
      </c>
      <c r="J19" s="17">
        <v>7561778</v>
      </c>
      <c r="K19" s="17">
        <v>11917613</v>
      </c>
      <c r="L19" s="17">
        <v>7030874.54</v>
      </c>
    </row>
    <row r="20" spans="1:12" x14ac:dyDescent="0.35">
      <c r="A20" s="16" t="s">
        <v>63</v>
      </c>
      <c r="B20" s="17">
        <v>13209786</v>
      </c>
      <c r="C20" s="17">
        <v>13723860</v>
      </c>
      <c r="D20" s="17">
        <v>14777636</v>
      </c>
      <c r="E20" s="17">
        <v>15927113</v>
      </c>
      <c r="F20" s="17">
        <v>17476521</v>
      </c>
      <c r="G20" s="17">
        <v>16493818</v>
      </c>
      <c r="H20" s="17">
        <v>17395695</v>
      </c>
      <c r="I20" s="17">
        <v>19310956</v>
      </c>
      <c r="J20" s="17">
        <v>19913571</v>
      </c>
      <c r="K20" s="17">
        <v>17207239</v>
      </c>
      <c r="L20" s="17">
        <v>26865049.059999999</v>
      </c>
    </row>
    <row r="21" spans="1:12" x14ac:dyDescent="0.35">
      <c r="A21" s="16" t="s">
        <v>64</v>
      </c>
      <c r="B21" s="17">
        <v>1248320</v>
      </c>
      <c r="C21" s="17">
        <v>668689</v>
      </c>
      <c r="D21" s="17">
        <v>44969</v>
      </c>
      <c r="E21" s="17">
        <v>100115</v>
      </c>
      <c r="F21" s="17">
        <v>60301</v>
      </c>
      <c r="G21" s="17">
        <v>79308</v>
      </c>
      <c r="H21" s="17">
        <v>509085</v>
      </c>
      <c r="I21" s="17">
        <v>471753</v>
      </c>
      <c r="J21" s="17">
        <v>1510079</v>
      </c>
      <c r="K21" s="17">
        <v>34097939</v>
      </c>
      <c r="L21" s="17">
        <v>974854.33</v>
      </c>
    </row>
    <row r="22" spans="1:12" x14ac:dyDescent="0.35">
      <c r="A22" s="16" t="s">
        <v>65</v>
      </c>
      <c r="B22" s="17"/>
      <c r="C22" s="17"/>
      <c r="D22" s="17"/>
      <c r="E22" s="17"/>
      <c r="F22" s="17">
        <v>1103</v>
      </c>
      <c r="G22" s="17">
        <v>3120</v>
      </c>
      <c r="H22" s="17"/>
      <c r="I22" s="17"/>
      <c r="J22" s="17"/>
      <c r="K22" s="17"/>
      <c r="L22" s="17"/>
    </row>
    <row r="23" spans="1:12" x14ac:dyDescent="0.35">
      <c r="A23" s="16" t="s">
        <v>66</v>
      </c>
      <c r="B23" s="17">
        <v>41627</v>
      </c>
      <c r="C23" s="17">
        <v>68582</v>
      </c>
      <c r="D23" s="17">
        <v>11900</v>
      </c>
      <c r="E23" s="17">
        <v>14516</v>
      </c>
      <c r="F23" s="17">
        <v>29788</v>
      </c>
      <c r="G23" s="17">
        <v>1464393</v>
      </c>
      <c r="H23" s="17">
        <v>194350</v>
      </c>
      <c r="I23" s="17">
        <v>218705</v>
      </c>
      <c r="J23" s="17">
        <v>1306772</v>
      </c>
      <c r="K23" s="17"/>
      <c r="L23" s="17"/>
    </row>
    <row r="24" spans="1:12" x14ac:dyDescent="0.35">
      <c r="A24" s="18" t="s">
        <v>67</v>
      </c>
      <c r="B24" s="19">
        <f t="shared" ref="B24:L24" si="1">B19+B20+B21+B22+B23</f>
        <v>23301934</v>
      </c>
      <c r="C24" s="19">
        <f t="shared" si="1"/>
        <v>25525115</v>
      </c>
      <c r="D24" s="19">
        <f t="shared" si="1"/>
        <v>23213618</v>
      </c>
      <c r="E24" s="19">
        <f t="shared" si="1"/>
        <v>26948945</v>
      </c>
      <c r="F24" s="19">
        <f t="shared" si="1"/>
        <v>31695896</v>
      </c>
      <c r="G24" s="19">
        <f t="shared" si="1"/>
        <v>31216000</v>
      </c>
      <c r="H24" s="19">
        <f t="shared" si="1"/>
        <v>27563207</v>
      </c>
      <c r="I24" s="19">
        <f t="shared" si="1"/>
        <v>25888579</v>
      </c>
      <c r="J24" s="19">
        <f t="shared" si="1"/>
        <v>30292200</v>
      </c>
      <c r="K24" s="19">
        <f t="shared" si="1"/>
        <v>63222791</v>
      </c>
      <c r="L24" s="19">
        <f t="shared" si="1"/>
        <v>34870777.93</v>
      </c>
    </row>
    <row r="25" spans="1:12" x14ac:dyDescent="0.35">
      <c r="A25" s="14" t="s">
        <v>68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x14ac:dyDescent="0.35">
      <c r="A26" s="16" t="s">
        <v>69</v>
      </c>
      <c r="B26" s="17">
        <v>72055630</v>
      </c>
      <c r="C26" s="17">
        <v>77594186</v>
      </c>
      <c r="D26" s="17">
        <v>80680381</v>
      </c>
      <c r="E26" s="17">
        <v>92349637</v>
      </c>
      <c r="F26" s="17">
        <v>95100386</v>
      </c>
      <c r="G26" s="17">
        <v>101481415</v>
      </c>
      <c r="H26" s="17">
        <v>104295949</v>
      </c>
      <c r="I26" s="17">
        <v>105515933</v>
      </c>
      <c r="J26" s="17">
        <v>114155995</v>
      </c>
      <c r="K26" s="17">
        <v>123621523</v>
      </c>
      <c r="L26" s="17">
        <v>123061960.95999999</v>
      </c>
    </row>
    <row r="27" spans="1:12" x14ac:dyDescent="0.35">
      <c r="A27" s="16" t="s">
        <v>70</v>
      </c>
      <c r="B27" s="17">
        <v>6270674</v>
      </c>
      <c r="C27" s="17">
        <v>6393586</v>
      </c>
      <c r="D27" s="17">
        <v>6816288</v>
      </c>
      <c r="E27" s="17">
        <v>6820672</v>
      </c>
      <c r="F27" s="17">
        <v>7117360</v>
      </c>
      <c r="G27" s="17">
        <v>7403410</v>
      </c>
      <c r="H27" s="17">
        <v>6692192</v>
      </c>
      <c r="I27" s="17">
        <v>7824520</v>
      </c>
      <c r="J27" s="17">
        <v>7976285</v>
      </c>
      <c r="K27" s="17">
        <v>6986431</v>
      </c>
      <c r="L27" s="17">
        <v>7070437</v>
      </c>
    </row>
    <row r="28" spans="1:12" x14ac:dyDescent="0.35">
      <c r="A28" s="16" t="s">
        <v>71</v>
      </c>
      <c r="B28" s="17">
        <v>600000</v>
      </c>
      <c r="C28" s="17">
        <v>500000</v>
      </c>
      <c r="D28" s="17">
        <v>520000</v>
      </c>
      <c r="E28" s="17">
        <v>670000</v>
      </c>
      <c r="F28" s="17">
        <v>424339</v>
      </c>
      <c r="G28" s="17">
        <v>434796</v>
      </c>
      <c r="H28" s="17">
        <v>2093103</v>
      </c>
      <c r="I28" s="17">
        <v>2400991</v>
      </c>
      <c r="J28" s="17"/>
      <c r="K28" s="17"/>
      <c r="L28" s="17"/>
    </row>
    <row r="29" spans="1:12" x14ac:dyDescent="0.35">
      <c r="A29" s="16" t="s">
        <v>72</v>
      </c>
      <c r="B29" s="17"/>
      <c r="C29" s="17"/>
      <c r="D29" s="17"/>
      <c r="E29" s="17"/>
      <c r="F29" s="17"/>
      <c r="G29" s="17"/>
      <c r="H29" s="17"/>
      <c r="I29" s="17"/>
      <c r="J29" s="17">
        <v>2324940</v>
      </c>
      <c r="K29" s="17"/>
      <c r="L29" s="17"/>
    </row>
    <row r="30" spans="1:12" x14ac:dyDescent="0.35">
      <c r="A30" s="16" t="s">
        <v>73</v>
      </c>
      <c r="B30" s="17"/>
      <c r="C30" s="17"/>
      <c r="D30" s="17"/>
      <c r="E30" s="17"/>
      <c r="F30" s="17"/>
      <c r="G30" s="17"/>
      <c r="H30" s="17"/>
      <c r="I30" s="17"/>
      <c r="J30" s="17"/>
      <c r="K30" s="17">
        <v>87390</v>
      </c>
      <c r="L30" s="17">
        <v>1188013.08</v>
      </c>
    </row>
    <row r="31" spans="1:12" x14ac:dyDescent="0.35">
      <c r="A31" s="18" t="s">
        <v>74</v>
      </c>
      <c r="B31" s="19">
        <f t="shared" ref="B31:L31" si="2">B26+B27+B28+B29+B30</f>
        <v>78926304</v>
      </c>
      <c r="C31" s="19">
        <f t="shared" si="2"/>
        <v>84487772</v>
      </c>
      <c r="D31" s="19">
        <f t="shared" si="2"/>
        <v>88016669</v>
      </c>
      <c r="E31" s="19">
        <f t="shared" si="2"/>
        <v>99840309</v>
      </c>
      <c r="F31" s="19">
        <f t="shared" si="2"/>
        <v>102642085</v>
      </c>
      <c r="G31" s="19">
        <f t="shared" si="2"/>
        <v>109319621</v>
      </c>
      <c r="H31" s="19">
        <f t="shared" si="2"/>
        <v>113081244</v>
      </c>
      <c r="I31" s="19">
        <f t="shared" si="2"/>
        <v>115741444</v>
      </c>
      <c r="J31" s="19">
        <f t="shared" si="2"/>
        <v>124457220</v>
      </c>
      <c r="K31" s="19">
        <f t="shared" si="2"/>
        <v>130695344</v>
      </c>
      <c r="L31" s="19">
        <f t="shared" si="2"/>
        <v>131320411.03999999</v>
      </c>
    </row>
    <row r="32" spans="1:12" x14ac:dyDescent="0.35">
      <c r="A32" s="14" t="s">
        <v>75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x14ac:dyDescent="0.35">
      <c r="A33" s="16" t="s">
        <v>76</v>
      </c>
      <c r="B33" s="17">
        <v>1097341</v>
      </c>
      <c r="C33" s="17">
        <v>1128938</v>
      </c>
      <c r="D33" s="17">
        <v>1519927</v>
      </c>
      <c r="E33" s="17">
        <v>1533248</v>
      </c>
      <c r="F33" s="17">
        <v>1567063</v>
      </c>
      <c r="G33" s="17">
        <v>1650060</v>
      </c>
      <c r="H33" s="17">
        <v>1662712</v>
      </c>
      <c r="I33" s="17">
        <v>1870633</v>
      </c>
      <c r="J33" s="17">
        <v>1872795</v>
      </c>
      <c r="K33" s="17">
        <v>254296</v>
      </c>
      <c r="L33" s="17">
        <v>1337599.6000000001</v>
      </c>
    </row>
    <row r="34" spans="1:12" x14ac:dyDescent="0.35">
      <c r="A34" s="16" t="s">
        <v>77</v>
      </c>
      <c r="B34" s="17">
        <v>19717565</v>
      </c>
      <c r="C34" s="17">
        <v>38154653</v>
      </c>
      <c r="D34" s="17">
        <v>16743861</v>
      </c>
      <c r="E34" s="17">
        <v>67061809</v>
      </c>
      <c r="F34" s="17">
        <v>71072315</v>
      </c>
      <c r="G34" s="17">
        <v>74122484</v>
      </c>
      <c r="H34" s="17">
        <v>30292753</v>
      </c>
      <c r="I34" s="17">
        <v>25141656</v>
      </c>
      <c r="J34" s="17">
        <v>102891288</v>
      </c>
      <c r="K34" s="17">
        <v>34636905</v>
      </c>
      <c r="L34" s="17">
        <v>29053748.25</v>
      </c>
    </row>
    <row r="35" spans="1:12" x14ac:dyDescent="0.35">
      <c r="A35" s="16" t="s">
        <v>78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35">
      <c r="A36" s="16" t="s">
        <v>79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x14ac:dyDescent="0.35">
      <c r="A37" s="16" t="s">
        <v>80</v>
      </c>
      <c r="B37" s="17">
        <v>11544614</v>
      </c>
      <c r="C37" s="17">
        <v>15339260</v>
      </c>
      <c r="D37" s="17">
        <v>18550551</v>
      </c>
      <c r="E37" s="17">
        <v>17237568</v>
      </c>
      <c r="F37" s="17">
        <v>11270502</v>
      </c>
      <c r="G37" s="17">
        <v>6876239</v>
      </c>
      <c r="H37" s="17">
        <v>11653470</v>
      </c>
      <c r="I37" s="17">
        <v>5356550</v>
      </c>
      <c r="J37" s="17">
        <v>4960343</v>
      </c>
      <c r="K37" s="17">
        <v>15298475</v>
      </c>
      <c r="L37" s="17">
        <v>11300062.08</v>
      </c>
    </row>
    <row r="38" spans="1:12" x14ac:dyDescent="0.35">
      <c r="A38" s="18" t="s">
        <v>81</v>
      </c>
      <c r="B38" s="19">
        <f t="shared" ref="B38:L38" si="3">B33+B34+B35+B36+B37</f>
        <v>32359520</v>
      </c>
      <c r="C38" s="19">
        <f t="shared" si="3"/>
        <v>54622851</v>
      </c>
      <c r="D38" s="19">
        <f t="shared" si="3"/>
        <v>36814339</v>
      </c>
      <c r="E38" s="19">
        <f t="shared" si="3"/>
        <v>85832625</v>
      </c>
      <c r="F38" s="19">
        <f t="shared" si="3"/>
        <v>83909880</v>
      </c>
      <c r="G38" s="19">
        <f t="shared" si="3"/>
        <v>82648783</v>
      </c>
      <c r="H38" s="19">
        <f t="shared" si="3"/>
        <v>43608935</v>
      </c>
      <c r="I38" s="19">
        <f t="shared" si="3"/>
        <v>32368839</v>
      </c>
      <c r="J38" s="19">
        <f t="shared" si="3"/>
        <v>109724426</v>
      </c>
      <c r="K38" s="19">
        <f t="shared" si="3"/>
        <v>50189676</v>
      </c>
      <c r="L38" s="19">
        <f t="shared" si="3"/>
        <v>41691409.93</v>
      </c>
    </row>
    <row r="39" spans="1:12" x14ac:dyDescent="0.35">
      <c r="A39" s="18" t="s">
        <v>82</v>
      </c>
      <c r="B39" s="19">
        <f t="shared" ref="B39:L39" si="4">B24+B31+B38</f>
        <v>134587758</v>
      </c>
      <c r="C39" s="19">
        <f t="shared" si="4"/>
        <v>164635738</v>
      </c>
      <c r="D39" s="19">
        <f t="shared" si="4"/>
        <v>148044626</v>
      </c>
      <c r="E39" s="19">
        <f t="shared" si="4"/>
        <v>212621879</v>
      </c>
      <c r="F39" s="19">
        <f t="shared" si="4"/>
        <v>218247861</v>
      </c>
      <c r="G39" s="19">
        <f t="shared" si="4"/>
        <v>223184404</v>
      </c>
      <c r="H39" s="19">
        <f t="shared" si="4"/>
        <v>184253386</v>
      </c>
      <c r="I39" s="19">
        <f t="shared" si="4"/>
        <v>173998862</v>
      </c>
      <c r="J39" s="19">
        <f t="shared" si="4"/>
        <v>264473846</v>
      </c>
      <c r="K39" s="19">
        <f t="shared" si="4"/>
        <v>244107811</v>
      </c>
      <c r="L39" s="19">
        <f t="shared" si="4"/>
        <v>207882598.90000001</v>
      </c>
    </row>
    <row r="41" spans="1:12" x14ac:dyDescent="0.35">
      <c r="A41" s="20" t="s">
        <v>83</v>
      </c>
      <c r="B41" s="21">
        <f t="shared" ref="B41:L41" si="5">B17-B39</f>
        <v>0</v>
      </c>
      <c r="C41" s="21">
        <f t="shared" si="5"/>
        <v>0</v>
      </c>
      <c r="D41" s="21">
        <f t="shared" si="5"/>
        <v>0</v>
      </c>
      <c r="E41" s="21">
        <f t="shared" si="5"/>
        <v>0</v>
      </c>
      <c r="F41" s="21">
        <f t="shared" si="5"/>
        <v>0</v>
      </c>
      <c r="G41" s="21">
        <f t="shared" si="5"/>
        <v>0</v>
      </c>
      <c r="H41" s="21">
        <f t="shared" si="5"/>
        <v>0</v>
      </c>
      <c r="I41" s="21">
        <f t="shared" si="5"/>
        <v>0</v>
      </c>
      <c r="J41" s="21">
        <f t="shared" si="5"/>
        <v>0</v>
      </c>
      <c r="K41" s="21">
        <f t="shared" si="5"/>
        <v>0</v>
      </c>
      <c r="L41" s="21">
        <f t="shared" si="5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 &amp; Tie-Out</vt:lpstr>
      <vt:lpstr>Cash by Fund</vt:lpstr>
      <vt:lpstr>General</vt:lpstr>
      <vt:lpstr>PPEL</vt:lpstr>
      <vt:lpstr>Capital Projects</vt:lpstr>
      <vt:lpstr>Debt Service</vt:lpstr>
      <vt:lpstr>GO Bonds</vt:lpstr>
      <vt:lpstr>Management Levy</vt:lpstr>
      <vt:lpstr>Nonmajor</vt:lpstr>
      <vt:lpstr>Total Governmental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Parrott</cp:lastModifiedBy>
  <cp:revision>0</cp:revision>
  <dcterms:created xsi:type="dcterms:W3CDTF">2026-06-23T00:09:10Z</dcterms:created>
  <dcterms:modified xsi:type="dcterms:W3CDTF">2026-06-23T00:21:16Z</dcterms:modified>
  <dc:language>en-US</dc:language>
</cp:coreProperties>
</file>