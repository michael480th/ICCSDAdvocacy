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Parrott\Documents\GitHub\ICCSDAdvocacy\auditreports\"/>
    </mc:Choice>
  </mc:AlternateContent>
  <xr:revisionPtr revIDLastSave="0" documentId="13_ncr:9_{9FBE49FB-DCEF-468D-AE74-17EDF8C65977}" xr6:coauthVersionLast="47" xr6:coauthVersionMax="47" xr10:uidLastSave="{00000000-0000-0000-0000-000000000000}"/>
  <bookViews>
    <workbookView xWindow="-110" yWindow="-110" windowWidth="38620" windowHeight="21100" xr2:uid="{50BC28DB-5226-4470-8B4A-DFEC2D774070}"/>
  </bookViews>
  <sheets>
    <sheet name="Iowa_City_CSD_General_Fund_Bala" sheetId="1" r:id="rId1"/>
    <sheet name="FY2025 BS by Fund" sheetId="2" r:id="rId2"/>
  </sheets>
  <calcPr calcId="0"/>
</workbook>
</file>

<file path=xl/calcChain.xml><?xml version="1.0" encoding="utf-8"?>
<calcChain xmlns="http://schemas.openxmlformats.org/spreadsheetml/2006/main">
  <c r="L31" i="1" l="1"/>
  <c r="L26" i="1"/>
  <c r="L20" i="1"/>
  <c r="L13" i="1"/>
  <c r="M30" i="1"/>
  <c r="O30" i="1" s="1"/>
  <c r="P30" i="1" s="1"/>
  <c r="M29" i="1"/>
  <c r="O29" i="1" s="1"/>
  <c r="P29" i="1" s="1"/>
  <c r="M28" i="1"/>
  <c r="O28" i="1" s="1"/>
  <c r="P28" i="1" s="1"/>
  <c r="M25" i="1"/>
  <c r="O25" i="1" s="1"/>
  <c r="P25" i="1" s="1"/>
  <c r="M23" i="1"/>
  <c r="O23" i="1" s="1"/>
  <c r="P23" i="1" s="1"/>
  <c r="M22" i="1"/>
  <c r="O22" i="1" s="1"/>
  <c r="P22" i="1" s="1"/>
  <c r="M19" i="1"/>
  <c r="M17" i="1"/>
  <c r="O17" i="1" s="1"/>
  <c r="P17" i="1" s="1"/>
  <c r="M16" i="1"/>
  <c r="O16" i="1" s="1"/>
  <c r="P16" i="1" s="1"/>
  <c r="M15" i="1"/>
  <c r="O15" i="1" s="1"/>
  <c r="P15" i="1" s="1"/>
  <c r="M12" i="1"/>
  <c r="O12" i="1" s="1"/>
  <c r="P12" i="1" s="1"/>
  <c r="M11" i="1"/>
  <c r="O11" i="1" s="1"/>
  <c r="P11" i="1" s="1"/>
  <c r="M10" i="1"/>
  <c r="O10" i="1" s="1"/>
  <c r="P10" i="1" s="1"/>
  <c r="M9" i="1"/>
  <c r="O9" i="1" s="1"/>
  <c r="P9" i="1" s="1"/>
  <c r="M8" i="1"/>
  <c r="O8" i="1" s="1"/>
  <c r="P8" i="1" s="1"/>
  <c r="M7" i="1"/>
  <c r="O7" i="1" s="1"/>
  <c r="P7" i="1" s="1"/>
  <c r="M6" i="1"/>
  <c r="O6" i="1" s="1"/>
  <c r="P6" i="1" s="1"/>
  <c r="M5" i="1"/>
  <c r="O5" i="1" s="1"/>
  <c r="P5" i="1" s="1"/>
  <c r="A6" i="1"/>
  <c r="L32" i="1" l="1"/>
  <c r="M26" i="1"/>
  <c r="O26" i="1" s="1"/>
  <c r="P26" i="1" s="1"/>
  <c r="M20" i="1"/>
  <c r="O20" i="1" s="1"/>
  <c r="P20" i="1" s="1"/>
  <c r="A7" i="1"/>
  <c r="M13" i="1"/>
  <c r="O13" i="1" s="1"/>
  <c r="P13" i="1" s="1"/>
  <c r="M31" i="1"/>
  <c r="O31" i="1" s="1"/>
  <c r="P31" i="1" s="1"/>
  <c r="A8" i="1" l="1"/>
  <c r="M32" i="1"/>
  <c r="O32" i="1" s="1"/>
  <c r="P32" i="1" s="1"/>
  <c r="A9" i="1" l="1"/>
  <c r="A10" i="1" l="1"/>
  <c r="A11" i="1" l="1"/>
  <c r="A12" i="1" l="1"/>
  <c r="A13" i="1" l="1"/>
  <c r="A14" i="1" l="1"/>
  <c r="A15" i="1" l="1"/>
  <c r="A16" i="1" l="1"/>
  <c r="A17" i="1" l="1"/>
  <c r="A18" i="1" l="1"/>
  <c r="A19" i="1" l="1"/>
  <c r="A20" i="1" l="1"/>
  <c r="A21" i="1" l="1"/>
  <c r="A22" i="1" l="1"/>
  <c r="A23" i="1" l="1"/>
  <c r="A24" i="1" l="1"/>
  <c r="A25" i="1" l="1"/>
  <c r="A26" i="1" l="1"/>
  <c r="A27" i="1" l="1"/>
  <c r="A28" i="1" l="1"/>
  <c r="A29" i="1" l="1"/>
  <c r="A30" i="1" l="1"/>
  <c r="A31" i="1" l="1"/>
  <c r="A3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Parrott</author>
  </authors>
  <commentList>
    <comment ref="L5" authorId="0" shapeId="0" xr:uid="{C46AC59B-2F7D-42DE-8A0E-AFE27A5CF42F}">
      <text>
        <r>
          <rPr>
            <b/>
            <sz val="9"/>
            <color indexed="81"/>
            <rFont val="Tahoma"/>
            <family val="2"/>
          </rPr>
          <t>Michael Parrott:</t>
        </r>
        <r>
          <rPr>
            <sz val="9"/>
            <color indexed="81"/>
            <rFont val="Tahoma"/>
            <family val="2"/>
          </rPr>
          <t xml:space="preserve">
Source: FY2024 published Governmental Funds Balance Sheet (June 30, 2024), General Fund column.</t>
        </r>
      </text>
    </comment>
    <comment ref="M5" authorId="0" shapeId="0" xr:uid="{5626279F-DE55-455F-8659-2423C822A283}">
      <text>
        <r>
          <rPr>
            <b/>
            <sz val="9"/>
            <color indexed="81"/>
            <rFont val="Tahoma"/>
            <family val="2"/>
          </rPr>
          <t>Michael Parrott:</t>
        </r>
        <r>
          <rPr>
            <sz val="9"/>
            <color indexed="81"/>
            <rFont val="Tahoma"/>
            <family val="2"/>
          </rPr>
          <t xml:space="preserve">
Cash &amp; Investments (General Fund). Source: FY2025 balance sheet by fund, Line 1.</t>
        </r>
      </text>
    </comment>
    <comment ref="M6" authorId="0" shapeId="0" xr:uid="{13857589-92FC-4179-831F-FC7667DAB90F}">
      <text>
        <r>
          <rPr>
            <b/>
            <sz val="9"/>
            <color indexed="81"/>
            <rFont val="Tahoma"/>
            <family val="2"/>
          </rPr>
          <t>Michael Parrott:</t>
        </r>
        <r>
          <rPr>
            <sz val="9"/>
            <color indexed="81"/>
            <rFont val="Tahoma"/>
            <family val="2"/>
          </rPr>
          <t xml:space="preserve">
Current-year property tax receivable = Taxes Receivable (Line 2) less succeeding-year property tax deferred inflow (Line 30).</t>
        </r>
      </text>
    </comment>
    <comment ref="M7" authorId="0" shapeId="0" xr:uid="{59F0AD4A-FBE7-4AB0-A7A1-B83BD91A1F7A}">
      <text>
        <r>
          <rPr>
            <b/>
            <sz val="9"/>
            <color indexed="81"/>
            <rFont val="Tahoma"/>
            <family val="2"/>
          </rPr>
          <t>Michael Parrott:</t>
        </r>
        <r>
          <rPr>
            <sz val="9"/>
            <color indexed="81"/>
            <rFont val="Tahoma"/>
            <family val="2"/>
          </rPr>
          <t xml:space="preserve">
Succeeding-year property tax receivable = succeeding-year property tax deferred inflow (Line 30), per model convention (receivable = deferred inflow).</t>
        </r>
      </text>
    </comment>
    <comment ref="M8" authorId="0" shapeId="0" xr:uid="{AC981E87-C6E7-4EEE-8AA6-BDE6FB7A094F}">
      <text>
        <r>
          <rPr>
            <b/>
            <sz val="9"/>
            <color indexed="81"/>
            <rFont val="Tahoma"/>
            <family val="2"/>
          </rPr>
          <t>Michael Parrott:</t>
        </r>
        <r>
          <rPr>
            <sz val="9"/>
            <color indexed="81"/>
            <rFont val="Tahoma"/>
            <family val="2"/>
          </rPr>
          <t xml:space="preserve">
Income surtax receivable = income surtax deferred inflow (Line 31), per model convention. Carved out of Intergovernmental Receivables below to avoid double counting.</t>
        </r>
      </text>
    </comment>
    <comment ref="M9" authorId="0" shapeId="0" xr:uid="{F9C0B3BD-39D2-4738-82C9-4183CCA67585}">
      <text>
        <r>
          <rPr>
            <b/>
            <sz val="9"/>
            <color indexed="81"/>
            <rFont val="Tahoma"/>
            <family val="2"/>
          </rPr>
          <t>Michael Parrott:</t>
        </r>
        <r>
          <rPr>
            <sz val="9"/>
            <color indexed="81"/>
            <rFont val="Tahoma"/>
            <family val="2"/>
          </rPr>
          <t xml:space="preserve">
Other Receivables (Line 5).</t>
        </r>
      </text>
    </comment>
    <comment ref="M10" authorId="0" shapeId="0" xr:uid="{2830C8CB-1FE3-4F54-B9D8-E5694D8E9C67}">
      <text>
        <r>
          <rPr>
            <b/>
            <sz val="9"/>
            <color indexed="81"/>
            <rFont val="Tahoma"/>
            <family val="2"/>
          </rPr>
          <t>Michael Parrott:</t>
        </r>
        <r>
          <rPr>
            <sz val="9"/>
            <color indexed="81"/>
            <rFont val="Tahoma"/>
            <family val="2"/>
          </rPr>
          <t xml:space="preserve">
Due from other governments = Intergovernmental Receivables (Line 4) less income surtax receivable, which is reported separately above.</t>
        </r>
      </text>
    </comment>
    <comment ref="M11" authorId="0" shapeId="0" xr:uid="{29EFE567-23EE-4151-964C-A187A39FD5DA}">
      <text>
        <r>
          <rPr>
            <b/>
            <sz val="9"/>
            <color indexed="81"/>
            <rFont val="Tahoma"/>
            <family val="2"/>
          </rPr>
          <t>Michael Parrott:</t>
        </r>
        <r>
          <rPr>
            <sz val="9"/>
            <color indexed="81"/>
            <rFont val="Tahoma"/>
            <family val="2"/>
          </rPr>
          <t xml:space="preserve">
Interfund Receivables (Line 3).</t>
        </r>
      </text>
    </comment>
    <comment ref="M12" authorId="0" shapeId="0" xr:uid="{3B5106BA-8EC5-426D-A5C0-6EBF87D236E9}">
      <text>
        <r>
          <rPr>
            <b/>
            <sz val="9"/>
            <color indexed="81"/>
            <rFont val="Tahoma"/>
            <family val="2"/>
          </rPr>
          <t>Michael Parrott:</t>
        </r>
        <r>
          <rPr>
            <sz val="9"/>
            <color indexed="81"/>
            <rFont val="Tahoma"/>
            <family val="2"/>
          </rPr>
          <t xml:space="preserve">
Prepaid Expenses (Line 7) + Inventories (Line 6) + Deferred Outflows of Resources (Line 12). Model has no separate inventory / deferred-outflow lines; immaterial amounts folded into prepaid items.</t>
        </r>
      </text>
    </comment>
    <comment ref="M15" authorId="0" shapeId="0" xr:uid="{09DFB5D7-472B-439B-A740-9CA88520330C}">
      <text>
        <r>
          <rPr>
            <b/>
            <sz val="9"/>
            <color indexed="81"/>
            <rFont val="Tahoma"/>
            <family val="2"/>
          </rPr>
          <t>Michael Parrott:</t>
        </r>
        <r>
          <rPr>
            <sz val="9"/>
            <color indexed="81"/>
            <rFont val="Tahoma"/>
            <family val="2"/>
          </rPr>
          <t xml:space="preserve">
Accounts payable = Other Payables (Line 18) + Intergovernmental Payables (Line 17) + Contracts Payable (Line 19).</t>
        </r>
      </text>
    </comment>
    <comment ref="M16" authorId="0" shapeId="0" xr:uid="{F6269F0E-DFF8-4026-84FB-654C698B8998}">
      <text>
        <r>
          <rPr>
            <b/>
            <sz val="9"/>
            <color indexed="81"/>
            <rFont val="Tahoma"/>
            <family val="2"/>
          </rPr>
          <t>Michael Parrott:</t>
        </r>
        <r>
          <rPr>
            <sz val="9"/>
            <color indexed="81"/>
            <rFont val="Tahoma"/>
            <family val="2"/>
          </rPr>
          <t xml:space="preserve">
Salaries/accrued = Accrued Expenses (Line 22) + Payroll Deductions &amp; Withholdings Payable (Line 23).</t>
        </r>
      </text>
    </comment>
    <comment ref="M17" authorId="0" shapeId="0" xr:uid="{B1908DDB-FB5B-47F7-BFD5-BC11AFE7B8F1}">
      <text>
        <r>
          <rPr>
            <b/>
            <sz val="9"/>
            <color indexed="81"/>
            <rFont val="Tahoma"/>
            <family val="2"/>
          </rPr>
          <t>Michael Parrott:</t>
        </r>
        <r>
          <rPr>
            <sz val="9"/>
            <color indexed="81"/>
            <rFont val="Tahoma"/>
            <family val="2"/>
          </rPr>
          <t xml:space="preserve">
Interfund Payables (Line 16) — none for General Fund in FY2025.</t>
        </r>
      </text>
    </comment>
    <comment ref="M18" authorId="0" shapeId="0" xr:uid="{DB2F76F5-7D69-4BF4-A37C-1E646997A99E}">
      <text>
        <r>
          <rPr>
            <b/>
            <sz val="9"/>
            <color indexed="81"/>
            <rFont val="Tahoma"/>
            <family val="2"/>
          </rPr>
          <t>Michael Parrott:</t>
        </r>
        <r>
          <rPr>
            <sz val="9"/>
            <color indexed="81"/>
            <rFont val="Tahoma"/>
            <family val="2"/>
          </rPr>
          <t xml:space="preserve">
No Due-to-fiduciary-funds reported for the General Fund in the FY2025 source.</t>
        </r>
      </text>
    </comment>
    <comment ref="M19" authorId="0" shapeId="0" xr:uid="{D19B3EF0-9485-45CD-9701-4BBA369F9534}">
      <text>
        <r>
          <rPr>
            <b/>
            <sz val="9"/>
            <color indexed="81"/>
            <rFont val="Tahoma"/>
            <family val="2"/>
          </rPr>
          <t>Michael Parrott:</t>
        </r>
        <r>
          <rPr>
            <sz val="9"/>
            <color indexed="81"/>
            <rFont val="Tahoma"/>
            <family val="2"/>
          </rPr>
          <t xml:space="preserve">
Advances of Federal Grants / Unearned Revenues (Line 24) — none for General Fund in FY2025.</t>
        </r>
      </text>
    </comment>
    <comment ref="M22" authorId="0" shapeId="0" xr:uid="{3B4BFDAF-9CA9-48EF-A8D3-7A6A19DF6C88}">
      <text>
        <r>
          <rPr>
            <b/>
            <sz val="9"/>
            <color indexed="81"/>
            <rFont val="Tahoma"/>
            <family val="2"/>
          </rPr>
          <t>Michael Parrott:</t>
        </r>
        <r>
          <rPr>
            <sz val="9"/>
            <color indexed="81"/>
            <rFont val="Tahoma"/>
            <family val="2"/>
          </rPr>
          <t xml:space="preserve">
Unavailable revenue - property tax = succeeding-year property tax deferred inflow (Line 30).</t>
        </r>
      </text>
    </comment>
    <comment ref="M23" authorId="0" shapeId="0" xr:uid="{7A5DEB3B-DAF1-4946-BA35-EF29BFBB5E59}">
      <text>
        <r>
          <rPr>
            <b/>
            <sz val="9"/>
            <color indexed="81"/>
            <rFont val="Tahoma"/>
            <family val="2"/>
          </rPr>
          <t>Michael Parrott:</t>
        </r>
        <r>
          <rPr>
            <sz val="9"/>
            <color indexed="81"/>
            <rFont val="Tahoma"/>
            <family val="2"/>
          </rPr>
          <t xml:space="preserve">
Unavailable revenue - income surtax = income surtax deferred inflow (Line 31).</t>
        </r>
      </text>
    </comment>
    <comment ref="M24" authorId="0" shapeId="0" xr:uid="{2C5FD07E-2334-4904-9297-110358D69CC1}">
      <text>
        <r>
          <rPr>
            <b/>
            <sz val="9"/>
            <color indexed="81"/>
            <rFont val="Tahoma"/>
            <family val="2"/>
          </rPr>
          <t>Michael Parrott:</t>
        </r>
        <r>
          <rPr>
            <sz val="9"/>
            <color indexed="81"/>
            <rFont val="Tahoma"/>
            <family val="2"/>
          </rPr>
          <t xml:space="preserve">
No federal-source deferred inflow reported for the General Fund in FY2025.</t>
        </r>
      </text>
    </comment>
    <comment ref="M25" authorId="0" shapeId="0" xr:uid="{B5307419-E2AD-4CE4-8733-C568E0F19A46}">
      <text>
        <r>
          <rPr>
            <b/>
            <sz val="9"/>
            <color indexed="81"/>
            <rFont val="Tahoma"/>
            <family val="2"/>
          </rPr>
          <t>Michael Parrott:</t>
        </r>
        <r>
          <rPr>
            <sz val="9"/>
            <color indexed="81"/>
            <rFont val="Tahoma"/>
            <family val="2"/>
          </rPr>
          <t xml:space="preserve">
Unavailable revenue - other = Misc. receivables not received within 60 days (Line 32).</t>
        </r>
      </text>
    </comment>
    <comment ref="M28" authorId="0" shapeId="0" xr:uid="{7E0FB100-34BA-4225-938B-C57C82545482}">
      <text>
        <r>
          <rPr>
            <b/>
            <sz val="9"/>
            <color indexed="81"/>
            <rFont val="Tahoma"/>
            <family val="2"/>
          </rPr>
          <t>Michael Parrott:</t>
        </r>
        <r>
          <rPr>
            <sz val="9"/>
            <color indexed="81"/>
            <rFont val="Tahoma"/>
            <family val="2"/>
          </rPr>
          <t xml:space="preserve">
Nonspendable Fund Balance (Line 36).</t>
        </r>
      </text>
    </comment>
    <comment ref="M29" authorId="0" shapeId="0" xr:uid="{A4696625-7A35-424D-BC38-3C5BA3ACF0DE}">
      <text>
        <r>
          <rPr>
            <b/>
            <sz val="9"/>
            <color indexed="81"/>
            <rFont val="Tahoma"/>
            <family val="2"/>
          </rPr>
          <t>Michael Parrott:</t>
        </r>
        <r>
          <rPr>
            <sz val="9"/>
            <color indexed="81"/>
            <rFont val="Tahoma"/>
            <family val="2"/>
          </rPr>
          <t xml:space="preserve">
Restricted Fund Balance (Line 37).</t>
        </r>
      </text>
    </comment>
    <comment ref="M30" authorId="0" shapeId="0" xr:uid="{3D6B8BE6-C598-4989-B55F-733EAFEAC206}">
      <text>
        <r>
          <rPr>
            <b/>
            <sz val="9"/>
            <color indexed="81"/>
            <rFont val="Tahoma"/>
            <family val="2"/>
          </rPr>
          <t>Michael Parrott:</t>
        </r>
        <r>
          <rPr>
            <sz val="9"/>
            <color indexed="81"/>
            <rFont val="Tahoma"/>
            <family val="2"/>
          </rPr>
          <t xml:space="preserve">
Unassigned Fund Balance (Line 40).</t>
        </r>
      </text>
    </comment>
  </commentList>
</comments>
</file>

<file path=xl/sharedStrings.xml><?xml version="1.0" encoding="utf-8"?>
<sst xmlns="http://schemas.openxmlformats.org/spreadsheetml/2006/main" count="125" uniqueCount="116">
  <si>
    <t>Iowa City Community School District - General Fund Balance Sheet (as of June 30)</t>
  </si>
  <si>
    <t>Line item (US dollars)</t>
  </si>
  <si>
    <t>FY2015</t>
  </si>
  <si>
    <t>FY2016</t>
  </si>
  <si>
    <t>FY2017</t>
  </si>
  <si>
    <t>FY2018</t>
  </si>
  <si>
    <t>FY2019</t>
  </si>
  <si>
    <t>FY2020</t>
  </si>
  <si>
    <t>FY2021</t>
  </si>
  <si>
    <t>FY2022</t>
  </si>
  <si>
    <t>FY2023</t>
  </si>
  <si>
    <t>FY2024</t>
  </si>
  <si>
    <t>Assets</t>
  </si>
  <si>
    <t>Cash, cash equivalents and investments</t>
  </si>
  <si>
    <t>Property tax receivable - current year</t>
  </si>
  <si>
    <t>Property tax receivable - succeeding year</t>
  </si>
  <si>
    <t>Income surtax receivable</t>
  </si>
  <si>
    <t>Other receivables</t>
  </si>
  <si>
    <t>Due from other governments</t>
  </si>
  <si>
    <t>Due from other funds</t>
  </si>
  <si>
    <t>Prepaid items</t>
  </si>
  <si>
    <t>Total assets</t>
  </si>
  <si>
    <t>Liabilities</t>
  </si>
  <si>
    <t>Accounts payable</t>
  </si>
  <si>
    <t>Salaries and benefits payable / accrued liabilities</t>
  </si>
  <si>
    <t>Due to other funds</t>
  </si>
  <si>
    <t>Due to fiduciary funds</t>
  </si>
  <si>
    <t>Unearned revenue</t>
  </si>
  <si>
    <t>Total liabilities</t>
  </si>
  <si>
    <t>Deferred inflows of resources</t>
  </si>
  <si>
    <t>Unavailable revenue - property tax</t>
  </si>
  <si>
    <t>Unavailable revenue - income surtax</t>
  </si>
  <si>
    <t>Unavailable revenue - federal sources</t>
  </si>
  <si>
    <t>Unavailable revenue - other</t>
  </si>
  <si>
    <t>Total deferred inflows of resources</t>
  </si>
  <si>
    <t>Fund balances</t>
  </si>
  <si>
    <t>Nonspendable</t>
  </si>
  <si>
    <t>Restricted</t>
  </si>
  <si>
    <t>Unassigned</t>
  </si>
  <si>
    <t>Total fund balances</t>
  </si>
  <si>
    <t>Total liabilities, deferred inflows and fund balances</t>
  </si>
  <si>
    <t>FY2025</t>
  </si>
  <si>
    <t>Line</t>
  </si>
  <si>
    <t>Description</t>
  </si>
  <si>
    <t>General Fund</t>
  </si>
  <si>
    <t>CURRENT ASSETS</t>
  </si>
  <si>
    <t>Cash &amp; Investments</t>
  </si>
  <si>
    <t>Taxes Receivable</t>
  </si>
  <si>
    <t>Interfund Receivables</t>
  </si>
  <si>
    <t>Intergovernmental Receivables</t>
  </si>
  <si>
    <t>Other Receivables</t>
  </si>
  <si>
    <t>Inventories</t>
  </si>
  <si>
    <t>Prepaid Expenses</t>
  </si>
  <si>
    <t>Other Current Assets</t>
  </si>
  <si>
    <t>TOTAL CURRENT ASSETS</t>
  </si>
  <si>
    <t>Long-Term Assets</t>
  </si>
  <si>
    <t>Total Assets</t>
  </si>
  <si>
    <t>DEFERRED OUTFLOWS OF RESOURCES</t>
  </si>
  <si>
    <t>Deferred Outflows of Resources</t>
  </si>
  <si>
    <t>Deferred Outflows of Resources related to Pensions and OPEB</t>
  </si>
  <si>
    <t>Total Deferred Outflows of Resources</t>
  </si>
  <si>
    <t>TOTAL ASSETS AND DEFERRED OUTFLOWS OF RESOURCES</t>
  </si>
  <si>
    <t>CURRENT LIABILITIES</t>
  </si>
  <si>
    <t>Interfund Payables</t>
  </si>
  <si>
    <t>Intergovernmental Payables</t>
  </si>
  <si>
    <t>Other Payables</t>
  </si>
  <si>
    <t>Contracts Payable</t>
  </si>
  <si>
    <t>Bonds Payable</t>
  </si>
  <si>
    <t>Loans Payable</t>
  </si>
  <si>
    <t>Accrued Expenses</t>
  </si>
  <si>
    <t>Payroll Deductions &amp; Withholdings Payable</t>
  </si>
  <si>
    <t>Advances of Federal Grants/Unearned Revenues</t>
  </si>
  <si>
    <t>Other Current Liabilities</t>
  </si>
  <si>
    <t>TOTAL CURRENT LIABILITIES</t>
  </si>
  <si>
    <t>Net Pension Liabilities</t>
  </si>
  <si>
    <t>Long-Term Liabilities</t>
  </si>
  <si>
    <t>Total Liabilities</t>
  </si>
  <si>
    <t>DEFERRED INFLOWS OF RESOURCES</t>
  </si>
  <si>
    <t>Deferred Inflows for Succeeding Year Property Taxes Receivable</t>
  </si>
  <si>
    <t>Deferred Inflows for Income Surtax Receivable</t>
  </si>
  <si>
    <t>Deferred Inflows for Miscellaneous Receivables not Received Within 60 Days</t>
  </si>
  <si>
    <t>Deferred Inflows of Resources related to Pensions and OPEB</t>
  </si>
  <si>
    <t>Deferred Inflows of Resources</t>
  </si>
  <si>
    <t>EQUITY</t>
  </si>
  <si>
    <t>Net Investment in Capital Assets</t>
  </si>
  <si>
    <t>Nonspendable Fund Balance</t>
  </si>
  <si>
    <t>Restricted Fund Balance / Restricted Net Position</t>
  </si>
  <si>
    <t>Committed Fund Balance</t>
  </si>
  <si>
    <t>Assigned Fund Balance</t>
  </si>
  <si>
    <t>Unassigned Fund Balance / Unrestricted Net Position</t>
  </si>
  <si>
    <t>TOTAL FUND</t>
  </si>
  <si>
    <t>TOTAL LIABILITIES, DEFERRED INFLOWS OF RESOURCES AND FUND EQUITY</t>
  </si>
  <si>
    <t>Non-Fiduciary Scholarship Funds</t>
  </si>
  <si>
    <t>Student Activity Fund</t>
  </si>
  <si>
    <t>Management Levy Fund</t>
  </si>
  <si>
    <t>Entreprenurial Education Fund</t>
  </si>
  <si>
    <t>PERL Fund</t>
  </si>
  <si>
    <t>AEA Sp Ed Inst Fund</t>
  </si>
  <si>
    <t>AEA JH Inst Fund</t>
  </si>
  <si>
    <t>Support Trust Fund</t>
  </si>
  <si>
    <t>Disaster Recovery Fund</t>
  </si>
  <si>
    <t>Library Levy Fund</t>
  </si>
  <si>
    <t>SAVE Statewide Sales and Services Tax Fund</t>
  </si>
  <si>
    <t>PPEL Fund</t>
  </si>
  <si>
    <t>Other Capital Project Funds</t>
  </si>
  <si>
    <t>Debt Service Fund</t>
  </si>
  <si>
    <t>Permanent Funds</t>
  </si>
  <si>
    <t>Enterprise Funds</t>
  </si>
  <si>
    <t>Internal Service Funds</t>
  </si>
  <si>
    <t>Trust Funds</t>
  </si>
  <si>
    <t>Custodial Funds</t>
  </si>
  <si>
    <t>Total</t>
  </si>
  <si>
    <t>25 vs 24 ($)</t>
  </si>
  <si>
    <t>25 vs 24 (%)</t>
  </si>
  <si>
    <t>Audit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</si>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</sst>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44" fontId="0" fillId="0" borderId="0" xfId="1" applyFont="1"/>
    <xf numFmtId="165" fontId="0" fillId="0" borderId="0" xfId="1" applyNumberFormat="1" applyFont="1"/>
    <xf numFmtId="0" fontId="18" fillId="34" borderId="0" xfId="0" applyFont="1" applyFill="1"/>
    <xf numFmtId="0" fontId="19" fillId="34" borderId="0" xfId="0" applyFont="1" applyFill="1"/>
    <xf numFmtId="0" fontId="0" fillId="0" borderId="0" xfId="0" applyFont="1"/>
    <xf numFmtId="44" fontId="0" fillId="0" borderId="0" xfId="0" applyNumberFormat="1"/>
    <xf numFmtId="0" fontId="0" fillId="35" borderId="0" xfId="0" applyFill="1"/>
    <xf numFmtId="44" fontId="0" fillId="35" borderId="0" xfId="1" applyFont="1" applyFill="1"/>
    <xf numFmtId="165" fontId="0" fillId="35" borderId="0" xfId="1" applyNumberFormat="1" applyFont="1" applyFill="1"/>
    <xf numFmtId="165" fontId="22" fillId="0" borderId="0" xfId="1" applyNumberFormat="1" applyFont="1"/>
    <xf numFmtId="165" fontId="22" fillId="35" borderId="0" xfId="1" applyNumberFormat="1" applyFont="1" applyFill="1"/>
    <xf numFmtId="0" fontId="0" fillId="0" borderId="0" xfId="0" applyFill="1"/>
    <xf numFmtId="0" fontId="0" fillId="0" borderId="10" xfId="0" applyBorder="1"/>
    <xf numFmtId="44" fontId="0" fillId="0" borderId="10" xfId="1" applyFont="1" applyBorder="1"/>
    <xf numFmtId="165" fontId="0" fillId="0" borderId="10" xfId="1" applyNumberFormat="1" applyFont="1" applyBorder="1"/>
    <xf numFmtId="165" fontId="22" fillId="0" borderId="10" xfId="1" applyNumberFormat="1" applyFont="1" applyBorder="1"/>
    <xf numFmtId="9" fontId="0" fillId="0" borderId="0" xfId="2" applyFont="1"/>
    <xf numFmtId="165" fontId="0" fillId="33" borderId="0" xfId="1" applyNumberFormat="1" applyFont="1" applyFill="1"/>
    <xf numFmtId="165" fontId="22" fillId="33" borderId="0" xfId="1" applyNumberFormat="1" applyFont="1" applyFill="1"/>
    <xf numFmtId="165" fontId="0" fillId="33" borderId="10" xfId="1" applyNumberFormat="1" applyFont="1" applyFill="1" applyBorder="1"/>
    <xf numFmtId="165" fontId="23" fillId="33" borderId="0" xfId="1" applyNumberFormat="1" applyFont="1" applyFill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F5EF45A-853C-48EF-8167-53EFCD07ABF0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08f9a788-3780-428c-aae5-21ac0a4a597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97181-E186-4526-90CE-2A69290AD59A}">
  <dimension ref="A1:P54"/>
  <sheetViews>
    <sheetView tabSelected="1" workbookViewId="0">
      <selection activeCell="H43" sqref="H43"/>
    </sheetView>
  </sheetViews>
  <sheetFormatPr defaultRowHeight="14.5" outlineLevelCol="1" x14ac:dyDescent="0.35"/>
  <cols>
    <col min="2" max="2" width="35.1796875" customWidth="1"/>
    <col min="3" max="3" width="14.81640625" customWidth="1" outlineLevel="1"/>
    <col min="4" max="12" width="15.81640625" customWidth="1" outlineLevel="1"/>
    <col min="13" max="13" width="15.81640625" bestFit="1" customWidth="1"/>
    <col min="14" max="14" width="2.6328125" customWidth="1"/>
    <col min="15" max="15" width="14.6328125" style="2" customWidth="1"/>
    <col min="16" max="16" width="14.6328125" customWidth="1"/>
  </cols>
  <sheetData>
    <row r="1" spans="1:16" x14ac:dyDescent="0.3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6" x14ac:dyDescent="0.35">
      <c r="B2" s="1"/>
      <c r="C2" s="1" t="s">
        <v>114</v>
      </c>
      <c r="D2" s="1" t="s">
        <v>114</v>
      </c>
      <c r="E2" s="1" t="s">
        <v>114</v>
      </c>
      <c r="F2" s="1" t="s">
        <v>114</v>
      </c>
      <c r="G2" s="1" t="s">
        <v>114</v>
      </c>
      <c r="H2" s="1" t="s">
        <v>114</v>
      </c>
      <c r="I2" s="1" t="s">
        <v>114</v>
      </c>
      <c r="J2" s="1" t="s">
        <v>114</v>
      </c>
      <c r="K2" s="1" t="s">
        <v>114</v>
      </c>
      <c r="L2" s="1" t="s">
        <v>114</v>
      </c>
      <c r="M2" s="1" t="s">
        <v>115</v>
      </c>
      <c r="N2" s="1"/>
    </row>
    <row r="3" spans="1:16" x14ac:dyDescent="0.35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2" t="s">
        <v>41</v>
      </c>
      <c r="N3" s="1"/>
      <c r="O3" s="2" t="s">
        <v>112</v>
      </c>
      <c r="P3" s="2" t="s">
        <v>113</v>
      </c>
    </row>
    <row r="4" spans="1:16" s="12" customFormat="1" x14ac:dyDescent="0.35">
      <c r="A4" s="7"/>
      <c r="B4" s="8" t="s">
        <v>12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1"/>
      <c r="O4" s="9"/>
    </row>
    <row r="5" spans="1:16" x14ac:dyDescent="0.35">
      <c r="A5">
        <v>1</v>
      </c>
      <c r="B5" s="1" t="s">
        <v>13</v>
      </c>
      <c r="C5" s="2">
        <v>25599301</v>
      </c>
      <c r="D5" s="2">
        <v>33270812</v>
      </c>
      <c r="E5" s="2">
        <v>36965401</v>
      </c>
      <c r="F5" s="2">
        <v>35749416</v>
      </c>
      <c r="G5" s="2">
        <v>29661358</v>
      </c>
      <c r="H5" s="2">
        <v>24963852</v>
      </c>
      <c r="I5" s="2">
        <v>21761592</v>
      </c>
      <c r="J5" s="2">
        <v>21475952</v>
      </c>
      <c r="K5" s="2">
        <v>19012680</v>
      </c>
      <c r="L5" s="2">
        <v>22536992</v>
      </c>
      <c r="M5" s="19">
        <f>'FY2025 BS by Fund'!C3</f>
        <v>43685677.009999998</v>
      </c>
      <c r="N5" s="1"/>
      <c r="O5" s="2">
        <f>M5-L5</f>
        <v>21148685.009999998</v>
      </c>
      <c r="P5" s="17">
        <f>O5/L5</f>
        <v>0.93839874504991605</v>
      </c>
    </row>
    <row r="6" spans="1:16" x14ac:dyDescent="0.35">
      <c r="A6">
        <f>A5+1</f>
        <v>2</v>
      </c>
      <c r="B6" s="1" t="s">
        <v>14</v>
      </c>
      <c r="C6" s="2">
        <v>232369</v>
      </c>
      <c r="D6" s="2">
        <v>200376</v>
      </c>
      <c r="E6" s="2">
        <v>172824</v>
      </c>
      <c r="F6" s="2">
        <v>248698</v>
      </c>
      <c r="G6" s="2">
        <v>226346</v>
      </c>
      <c r="H6" s="2">
        <v>419384</v>
      </c>
      <c r="I6" s="2">
        <v>560338</v>
      </c>
      <c r="J6" s="2">
        <v>234203</v>
      </c>
      <c r="K6" s="2">
        <v>366102</v>
      </c>
      <c r="L6" s="2">
        <v>429762</v>
      </c>
      <c r="M6" s="10">
        <f>'FY2025 BS by Fund'!C4-'FY2025 BS by Fund'!C35</f>
        <v>379454.25999999046</v>
      </c>
      <c r="N6" s="1"/>
      <c r="O6" s="2">
        <f>M6-L6</f>
        <v>-50307.740000009537</v>
      </c>
      <c r="P6" s="17">
        <f>O6/L6</f>
        <v>-0.1170595352776875</v>
      </c>
    </row>
    <row r="7" spans="1:16" x14ac:dyDescent="0.35">
      <c r="A7">
        <f t="shared" ref="A7:A32" si="0">A6+1</f>
        <v>3</v>
      </c>
      <c r="B7" s="1" t="s">
        <v>15</v>
      </c>
      <c r="C7" s="2">
        <v>56420267</v>
      </c>
      <c r="D7" s="2">
        <v>60238767</v>
      </c>
      <c r="E7" s="2">
        <v>62483923</v>
      </c>
      <c r="F7" s="2">
        <v>63927908</v>
      </c>
      <c r="G7" s="2">
        <v>65789035</v>
      </c>
      <c r="H7" s="2">
        <v>72666630</v>
      </c>
      <c r="I7" s="2">
        <v>72389732</v>
      </c>
      <c r="J7" s="2">
        <v>74768537</v>
      </c>
      <c r="K7" s="2">
        <v>75474753</v>
      </c>
      <c r="L7" s="2">
        <v>84046760</v>
      </c>
      <c r="M7" s="10">
        <f>'FY2025 BS by Fund'!C35</f>
        <v>83672536.810000002</v>
      </c>
      <c r="N7" s="1"/>
      <c r="O7" s="2">
        <f>M7-L7</f>
        <v>-374223.18999999762</v>
      </c>
      <c r="P7" s="17">
        <f>O7/L7</f>
        <v>-4.4525593847995759E-3</v>
      </c>
    </row>
    <row r="8" spans="1:16" x14ac:dyDescent="0.35">
      <c r="A8">
        <f t="shared" si="0"/>
        <v>4</v>
      </c>
      <c r="B8" s="1" t="s">
        <v>16</v>
      </c>
      <c r="C8" s="2">
        <v>6270674</v>
      </c>
      <c r="D8" s="2">
        <v>6393586</v>
      </c>
      <c r="E8" s="2">
        <v>6816288</v>
      </c>
      <c r="F8" s="2">
        <v>6820672</v>
      </c>
      <c r="G8" s="2">
        <v>7117360</v>
      </c>
      <c r="H8" s="2">
        <v>7403410</v>
      </c>
      <c r="I8" s="2">
        <v>6692192</v>
      </c>
      <c r="J8" s="2">
        <v>7824520</v>
      </c>
      <c r="K8" s="2">
        <v>7976285</v>
      </c>
      <c r="L8" s="2">
        <v>6986431</v>
      </c>
      <c r="M8" s="10">
        <f>'FY2025 BS by Fund'!C36</f>
        <v>7070437</v>
      </c>
      <c r="N8" s="1"/>
      <c r="O8" s="2">
        <f>M8-L8</f>
        <v>84006</v>
      </c>
      <c r="P8" s="17">
        <f>O8/L8</f>
        <v>1.2024165128089006E-2</v>
      </c>
    </row>
    <row r="9" spans="1:16" x14ac:dyDescent="0.35">
      <c r="A9">
        <f t="shared" si="0"/>
        <v>5</v>
      </c>
      <c r="B9" s="1" t="s">
        <v>17</v>
      </c>
      <c r="C9" s="2">
        <v>786056</v>
      </c>
      <c r="D9" s="2">
        <v>173561</v>
      </c>
      <c r="E9" s="2">
        <v>147116</v>
      </c>
      <c r="F9" s="2">
        <v>343272</v>
      </c>
      <c r="G9" s="2">
        <v>702720</v>
      </c>
      <c r="H9" s="2">
        <v>2155541</v>
      </c>
      <c r="I9" s="2">
        <v>996184</v>
      </c>
      <c r="J9" s="2">
        <v>223250</v>
      </c>
      <c r="K9" s="2">
        <v>641083</v>
      </c>
      <c r="L9" s="2">
        <v>385129</v>
      </c>
      <c r="M9" s="10">
        <f>'FY2025 BS by Fund'!C7</f>
        <v>487319.26</v>
      </c>
      <c r="N9" s="1"/>
      <c r="O9" s="2">
        <f>M9-L9</f>
        <v>102190.26000000001</v>
      </c>
      <c r="P9" s="17">
        <f>O9/L9</f>
        <v>0.2653403405092839</v>
      </c>
    </row>
    <row r="10" spans="1:16" x14ac:dyDescent="0.35">
      <c r="A10">
        <f t="shared" si="0"/>
        <v>6</v>
      </c>
      <c r="B10" s="1" t="s">
        <v>18</v>
      </c>
      <c r="C10" s="2">
        <v>2148465</v>
      </c>
      <c r="D10" s="2">
        <v>1978107</v>
      </c>
      <c r="E10" s="2">
        <v>1966701</v>
      </c>
      <c r="F10" s="2">
        <v>1988224</v>
      </c>
      <c r="G10" s="2">
        <v>2373369</v>
      </c>
      <c r="H10" s="2">
        <v>2252396</v>
      </c>
      <c r="I10" s="2">
        <v>10458625</v>
      </c>
      <c r="J10" s="2">
        <v>7722440</v>
      </c>
      <c r="K10" s="2">
        <v>14223011</v>
      </c>
      <c r="L10" s="2">
        <v>5626319</v>
      </c>
      <c r="M10" s="19">
        <f>'FY2025 BS by Fund'!C6-'FY2025 BS by Fund'!C36</f>
        <v>2568339.9800000004</v>
      </c>
      <c r="N10" s="1"/>
      <c r="O10" s="2">
        <f>M10-L10</f>
        <v>-3057979.0199999996</v>
      </c>
      <c r="P10" s="17">
        <f>O10/L10</f>
        <v>-0.54351326684462786</v>
      </c>
    </row>
    <row r="11" spans="1:16" x14ac:dyDescent="0.35">
      <c r="A11">
        <f t="shared" si="0"/>
        <v>7</v>
      </c>
      <c r="B11" s="1" t="s">
        <v>19</v>
      </c>
      <c r="C11" s="2">
        <v>1329952</v>
      </c>
      <c r="D11" s="2">
        <v>11132</v>
      </c>
      <c r="E11" s="2">
        <v>750616</v>
      </c>
      <c r="F11" s="2">
        <v>93140</v>
      </c>
      <c r="G11" s="2">
        <v>27801</v>
      </c>
      <c r="H11" s="2">
        <v>275994</v>
      </c>
      <c r="I11" s="2">
        <v>150423</v>
      </c>
      <c r="J11" s="2">
        <v>177298</v>
      </c>
      <c r="K11" s="2">
        <v>156679</v>
      </c>
      <c r="L11" s="18">
        <v>29093296</v>
      </c>
      <c r="M11" s="10">
        <f>'FY2025 BS by Fund'!C5</f>
        <v>974445.71</v>
      </c>
      <c r="N11" s="1"/>
      <c r="O11" s="2">
        <f>M11-L11</f>
        <v>-28118850.289999999</v>
      </c>
      <c r="P11" s="17">
        <f>O11/L11</f>
        <v>-0.96650617688693641</v>
      </c>
    </row>
    <row r="12" spans="1:16" x14ac:dyDescent="0.35">
      <c r="A12">
        <f t="shared" si="0"/>
        <v>8</v>
      </c>
      <c r="B12" s="1" t="s">
        <v>20</v>
      </c>
      <c r="C12" s="2">
        <v>1095801</v>
      </c>
      <c r="D12" s="2">
        <v>1127628</v>
      </c>
      <c r="E12" s="2">
        <v>1251954</v>
      </c>
      <c r="F12" s="2">
        <v>1395556</v>
      </c>
      <c r="G12" s="2">
        <v>1472184</v>
      </c>
      <c r="H12" s="2">
        <v>1552575</v>
      </c>
      <c r="I12" s="2">
        <v>1317074</v>
      </c>
      <c r="J12" s="2">
        <v>1738981</v>
      </c>
      <c r="K12" s="2">
        <v>1702154</v>
      </c>
      <c r="L12" s="18">
        <v>67836</v>
      </c>
      <c r="M12" s="10">
        <f>'FY2025 BS by Fund'!C9+'FY2025 BS by Fund'!C8+'FY2025 BS by Fund'!C15</f>
        <v>1303183.9399999997</v>
      </c>
      <c r="N12" s="1"/>
      <c r="O12" s="2">
        <f>M12-L12</f>
        <v>1235347.9399999997</v>
      </c>
      <c r="P12" s="17">
        <f>O12/L12</f>
        <v>18.210801639247592</v>
      </c>
    </row>
    <row r="13" spans="1:16" x14ac:dyDescent="0.35">
      <c r="A13">
        <f t="shared" si="0"/>
        <v>9</v>
      </c>
      <c r="B13" s="1" t="s">
        <v>21</v>
      </c>
      <c r="C13" s="2">
        <v>93882885</v>
      </c>
      <c r="D13" s="2">
        <v>103393969</v>
      </c>
      <c r="E13" s="2">
        <v>110554823</v>
      </c>
      <c r="F13" s="2">
        <v>110566886</v>
      </c>
      <c r="G13" s="2">
        <v>107370173</v>
      </c>
      <c r="H13" s="2">
        <v>111689782</v>
      </c>
      <c r="I13" s="2">
        <v>114326160</v>
      </c>
      <c r="J13" s="2">
        <v>114165181</v>
      </c>
      <c r="K13" s="2">
        <v>119552747</v>
      </c>
      <c r="L13" s="18">
        <f>SUM(L5:L12)</f>
        <v>149172525</v>
      </c>
      <c r="M13" s="10">
        <f>SUM(M5:M12)</f>
        <v>140141393.96999997</v>
      </c>
      <c r="N13" s="1"/>
      <c r="O13" s="2">
        <f>M13-L13</f>
        <v>-9031131.030000031</v>
      </c>
      <c r="P13" s="17">
        <f>O13/L13</f>
        <v>-6.0541517481185164E-2</v>
      </c>
    </row>
    <row r="14" spans="1:16" s="12" customFormat="1" x14ac:dyDescent="0.35">
      <c r="A14" s="7">
        <f t="shared" si="0"/>
        <v>10</v>
      </c>
      <c r="B14" s="8" t="s">
        <v>22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11"/>
      <c r="N14" s="1"/>
      <c r="O14" s="2"/>
      <c r="P14" s="17"/>
    </row>
    <row r="15" spans="1:16" x14ac:dyDescent="0.35">
      <c r="A15">
        <f t="shared" si="0"/>
        <v>11</v>
      </c>
      <c r="B15" s="1" t="s">
        <v>23</v>
      </c>
      <c r="C15" s="2">
        <v>2013166</v>
      </c>
      <c r="D15" s="2">
        <v>1895636</v>
      </c>
      <c r="E15" s="2">
        <v>2636705</v>
      </c>
      <c r="F15" s="2">
        <v>2776112</v>
      </c>
      <c r="G15" s="2">
        <v>2061443</v>
      </c>
      <c r="H15" s="2">
        <v>2416119</v>
      </c>
      <c r="I15" s="2">
        <v>1763278</v>
      </c>
      <c r="J15" s="2">
        <v>1933142</v>
      </c>
      <c r="K15" s="2">
        <v>1431069</v>
      </c>
      <c r="L15" s="2">
        <v>1735139</v>
      </c>
      <c r="M15" s="10">
        <f>'FY2025 BS by Fund'!C22+'FY2025 BS by Fund'!C21+'FY2025 BS by Fund'!C23</f>
        <v>3121264.58</v>
      </c>
      <c r="N15" s="1"/>
      <c r="O15" s="2">
        <f>M15-L15</f>
        <v>1386125.58</v>
      </c>
      <c r="P15" s="17">
        <f>O15/L15</f>
        <v>0.79885564211282212</v>
      </c>
    </row>
    <row r="16" spans="1:16" x14ac:dyDescent="0.35">
      <c r="A16">
        <f t="shared" si="0"/>
        <v>12</v>
      </c>
      <c r="B16" s="1" t="s">
        <v>24</v>
      </c>
      <c r="C16" s="2">
        <v>13190317</v>
      </c>
      <c r="D16" s="2">
        <v>13706046</v>
      </c>
      <c r="E16" s="2">
        <v>14762330</v>
      </c>
      <c r="F16" s="2">
        <v>15908169</v>
      </c>
      <c r="G16" s="2">
        <v>17455439</v>
      </c>
      <c r="H16" s="2">
        <v>16465994</v>
      </c>
      <c r="I16" s="2">
        <v>17373534</v>
      </c>
      <c r="J16" s="2">
        <v>19286079</v>
      </c>
      <c r="K16" s="2">
        <v>19887707</v>
      </c>
      <c r="L16" s="2">
        <v>17190017</v>
      </c>
      <c r="M16" s="10">
        <f>'FY2025 BS by Fund'!C26+'FY2025 BS by Fund'!C27</f>
        <v>26795467.689999998</v>
      </c>
      <c r="N16" s="1"/>
      <c r="O16" s="2">
        <f>M16-L16</f>
        <v>9605450.6899999976</v>
      </c>
      <c r="P16" s="17">
        <f>O16/L16</f>
        <v>0.55878075571420305</v>
      </c>
    </row>
    <row r="17" spans="1:16" x14ac:dyDescent="0.35">
      <c r="A17">
        <f t="shared" si="0"/>
        <v>13</v>
      </c>
      <c r="B17" s="1" t="s">
        <v>25</v>
      </c>
      <c r="C17" s="2">
        <v>2552</v>
      </c>
      <c r="D17" s="2">
        <v>661001</v>
      </c>
      <c r="E17" s="2">
        <v>10572</v>
      </c>
      <c r="F17" s="2">
        <v>8086</v>
      </c>
      <c r="G17" s="2">
        <v>17064</v>
      </c>
      <c r="H17" s="2">
        <v>29976</v>
      </c>
      <c r="I17" s="2">
        <v>22924</v>
      </c>
      <c r="J17" s="2">
        <v>71144</v>
      </c>
      <c r="K17" s="21">
        <v>1000000</v>
      </c>
      <c r="L17" s="18">
        <v>20073735</v>
      </c>
      <c r="M17" s="10">
        <f>'FY2025 BS by Fund'!C20</f>
        <v>0</v>
      </c>
      <c r="N17" s="1"/>
      <c r="O17" s="2">
        <f>M17-L17</f>
        <v>-20073735</v>
      </c>
      <c r="P17" s="17">
        <f>O17/L17</f>
        <v>-1</v>
      </c>
    </row>
    <row r="18" spans="1:16" x14ac:dyDescent="0.35">
      <c r="A18">
        <f t="shared" si="0"/>
        <v>14</v>
      </c>
      <c r="B18" s="1" t="s">
        <v>26</v>
      </c>
      <c r="C18" s="2"/>
      <c r="D18" s="2"/>
      <c r="E18" s="2"/>
      <c r="F18" s="2"/>
      <c r="G18" s="2">
        <v>0</v>
      </c>
      <c r="H18" s="2">
        <v>3120</v>
      </c>
      <c r="I18" s="2"/>
      <c r="J18" s="2"/>
      <c r="K18" s="2"/>
      <c r="L18" s="2"/>
      <c r="M18" s="10">
        <v>0</v>
      </c>
      <c r="N18" s="1"/>
      <c r="P18" s="17"/>
    </row>
    <row r="19" spans="1:16" x14ac:dyDescent="0.35">
      <c r="A19">
        <f t="shared" si="0"/>
        <v>15</v>
      </c>
      <c r="B19" s="1" t="s">
        <v>27</v>
      </c>
      <c r="C19" s="2">
        <v>41627</v>
      </c>
      <c r="D19" s="2">
        <v>68582</v>
      </c>
      <c r="E19" s="2">
        <v>11900</v>
      </c>
      <c r="F19" s="2">
        <v>14516</v>
      </c>
      <c r="G19" s="2">
        <v>29788</v>
      </c>
      <c r="H19" s="2">
        <v>1464393</v>
      </c>
      <c r="I19" s="2">
        <v>194350</v>
      </c>
      <c r="J19" s="2">
        <v>218705</v>
      </c>
      <c r="K19" s="2">
        <v>1306772</v>
      </c>
      <c r="L19" s="18"/>
      <c r="M19" s="19">
        <f>'FY2025 BS by Fund'!C28</f>
        <v>0</v>
      </c>
      <c r="N19" s="1"/>
      <c r="P19" s="17"/>
    </row>
    <row r="20" spans="1:16" x14ac:dyDescent="0.35">
      <c r="A20" s="13">
        <f t="shared" si="0"/>
        <v>16</v>
      </c>
      <c r="B20" s="14" t="s">
        <v>28</v>
      </c>
      <c r="C20" s="15">
        <v>15247662</v>
      </c>
      <c r="D20" s="15">
        <v>16331265</v>
      </c>
      <c r="E20" s="15">
        <v>17421507</v>
      </c>
      <c r="F20" s="15">
        <v>18706883</v>
      </c>
      <c r="G20" s="15">
        <v>19563734</v>
      </c>
      <c r="H20" s="15">
        <v>20379602</v>
      </c>
      <c r="I20" s="15">
        <v>19354086</v>
      </c>
      <c r="J20" s="15">
        <v>21509070</v>
      </c>
      <c r="K20" s="15">
        <v>23625548</v>
      </c>
      <c r="L20" s="20">
        <f>SUM(L15:L19)</f>
        <v>38998891</v>
      </c>
      <c r="M20" s="16">
        <f>SUM(M15:M19)</f>
        <v>29916732.269999996</v>
      </c>
      <c r="N20" s="1"/>
      <c r="O20" s="2">
        <f>M20-L20</f>
        <v>-9082158.7300000042</v>
      </c>
      <c r="P20" s="17">
        <f>O20/L20</f>
        <v>-0.23288248709431261</v>
      </c>
    </row>
    <row r="21" spans="1:16" x14ac:dyDescent="0.35">
      <c r="A21">
        <f t="shared" si="0"/>
        <v>17</v>
      </c>
      <c r="B21" s="1" t="s">
        <v>29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10"/>
      <c r="N21" s="1"/>
      <c r="P21" s="17"/>
    </row>
    <row r="22" spans="1:16" x14ac:dyDescent="0.35">
      <c r="A22">
        <f t="shared" si="0"/>
        <v>18</v>
      </c>
      <c r="B22" s="1" t="s">
        <v>30</v>
      </c>
      <c r="C22" s="2">
        <v>56420267</v>
      </c>
      <c r="D22" s="2">
        <v>60238767</v>
      </c>
      <c r="E22" s="2">
        <v>62483923</v>
      </c>
      <c r="F22" s="2">
        <v>63927908</v>
      </c>
      <c r="G22" s="2">
        <v>65789035</v>
      </c>
      <c r="H22" s="2">
        <v>72666630</v>
      </c>
      <c r="I22" s="2">
        <v>72389732</v>
      </c>
      <c r="J22" s="2">
        <v>74768537</v>
      </c>
      <c r="K22" s="2">
        <v>75474753</v>
      </c>
      <c r="L22" s="2">
        <v>84046760</v>
      </c>
      <c r="M22" s="10">
        <f>'FY2025 BS by Fund'!C35</f>
        <v>83672536.810000002</v>
      </c>
      <c r="N22" s="1"/>
      <c r="O22" s="2">
        <f>M22-L22</f>
        <v>-374223.18999999762</v>
      </c>
      <c r="P22" s="17">
        <f>O22/L22</f>
        <v>-4.4525593847995759E-3</v>
      </c>
    </row>
    <row r="23" spans="1:16" x14ac:dyDescent="0.35">
      <c r="A23">
        <f t="shared" si="0"/>
        <v>19</v>
      </c>
      <c r="B23" s="1" t="s">
        <v>31</v>
      </c>
      <c r="C23" s="2">
        <v>6270674</v>
      </c>
      <c r="D23" s="2">
        <v>6393586</v>
      </c>
      <c r="E23" s="2">
        <v>6816288</v>
      </c>
      <c r="F23" s="2">
        <v>6820672</v>
      </c>
      <c r="G23" s="2">
        <v>7117360</v>
      </c>
      <c r="H23" s="2">
        <v>7403410</v>
      </c>
      <c r="I23" s="2">
        <v>6692192</v>
      </c>
      <c r="J23" s="2">
        <v>7824520</v>
      </c>
      <c r="K23" s="2">
        <v>7976285</v>
      </c>
      <c r="L23" s="2">
        <v>6986431</v>
      </c>
      <c r="M23" s="10">
        <f>'FY2025 BS by Fund'!C36</f>
        <v>7070437</v>
      </c>
      <c r="N23" s="1"/>
      <c r="O23" s="2">
        <f>M23-L23</f>
        <v>84006</v>
      </c>
      <c r="P23" s="17">
        <f>O23/L23</f>
        <v>1.2024165128089006E-2</v>
      </c>
    </row>
    <row r="24" spans="1:16" x14ac:dyDescent="0.35">
      <c r="A24">
        <f t="shared" si="0"/>
        <v>20</v>
      </c>
      <c r="B24" s="1" t="s">
        <v>32</v>
      </c>
      <c r="C24" s="2"/>
      <c r="D24" s="2"/>
      <c r="E24" s="2"/>
      <c r="F24" s="2"/>
      <c r="G24" s="2"/>
      <c r="H24" s="2"/>
      <c r="I24" s="2"/>
      <c r="J24" s="2"/>
      <c r="K24" s="2">
        <v>2324940</v>
      </c>
      <c r="L24" s="2"/>
      <c r="M24" s="10">
        <v>0</v>
      </c>
      <c r="N24" s="1"/>
      <c r="P24" s="17"/>
    </row>
    <row r="25" spans="1:16" x14ac:dyDescent="0.35">
      <c r="A25">
        <f t="shared" si="0"/>
        <v>21</v>
      </c>
      <c r="B25" s="1" t="s">
        <v>33</v>
      </c>
      <c r="C25" s="2"/>
      <c r="D25" s="2"/>
      <c r="E25" s="2"/>
      <c r="F25" s="2"/>
      <c r="G25" s="2"/>
      <c r="H25" s="2"/>
      <c r="I25" s="2"/>
      <c r="J25" s="2"/>
      <c r="K25" s="2"/>
      <c r="L25" s="2">
        <v>87390</v>
      </c>
      <c r="M25" s="19">
        <f>'FY2025 BS by Fund'!C37</f>
        <v>1188013.08</v>
      </c>
      <c r="N25" s="1"/>
      <c r="O25" s="2">
        <f>M25-L25</f>
        <v>1100623.08</v>
      </c>
      <c r="P25" s="17">
        <f>O25/L25</f>
        <v>12.594382423618264</v>
      </c>
    </row>
    <row r="26" spans="1:16" x14ac:dyDescent="0.35">
      <c r="A26" s="13">
        <f t="shared" si="0"/>
        <v>22</v>
      </c>
      <c r="B26" s="14" t="s">
        <v>34</v>
      </c>
      <c r="C26" s="15">
        <v>62690941</v>
      </c>
      <c r="D26" s="15">
        <v>66632353</v>
      </c>
      <c r="E26" s="15">
        <v>69300211</v>
      </c>
      <c r="F26" s="15">
        <v>70748580</v>
      </c>
      <c r="G26" s="15">
        <v>72906395</v>
      </c>
      <c r="H26" s="15">
        <v>80070040</v>
      </c>
      <c r="I26" s="15">
        <v>79081924</v>
      </c>
      <c r="J26" s="15">
        <v>82593057</v>
      </c>
      <c r="K26" s="15">
        <v>85775978</v>
      </c>
      <c r="L26" s="15">
        <f>SUM(L22:L25)</f>
        <v>91120581</v>
      </c>
      <c r="M26" s="16">
        <f>SUM(M22:M25)</f>
        <v>91930986.890000001</v>
      </c>
      <c r="N26" s="1"/>
      <c r="O26" s="2">
        <f>M26-L26</f>
        <v>810405.8900000006</v>
      </c>
      <c r="P26" s="17">
        <f>O26/L26</f>
        <v>8.8937743932954137E-3</v>
      </c>
    </row>
    <row r="27" spans="1:16" x14ac:dyDescent="0.35">
      <c r="A27">
        <f t="shared" si="0"/>
        <v>23</v>
      </c>
      <c r="B27" s="1" t="s">
        <v>35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10"/>
      <c r="N27" s="1"/>
      <c r="P27" s="17"/>
    </row>
    <row r="28" spans="1:16" x14ac:dyDescent="0.35">
      <c r="A28">
        <f t="shared" si="0"/>
        <v>24</v>
      </c>
      <c r="B28" s="1" t="s">
        <v>36</v>
      </c>
      <c r="C28" s="2">
        <v>1095801</v>
      </c>
      <c r="D28" s="2">
        <v>1127628</v>
      </c>
      <c r="E28" s="2">
        <v>1251954</v>
      </c>
      <c r="F28" s="2">
        <v>1395556</v>
      </c>
      <c r="G28" s="2">
        <v>1472184</v>
      </c>
      <c r="H28" s="2">
        <v>1552575</v>
      </c>
      <c r="I28" s="2">
        <v>1316399</v>
      </c>
      <c r="J28" s="2">
        <v>1738981</v>
      </c>
      <c r="K28" s="2">
        <v>1702154</v>
      </c>
      <c r="L28" s="2">
        <v>67836</v>
      </c>
      <c r="M28" s="10">
        <f>'FY2025 BS by Fund'!C42</f>
        <v>1276719.8</v>
      </c>
      <c r="N28" s="1"/>
      <c r="O28" s="2">
        <f>M28-L28</f>
        <v>1208883.8</v>
      </c>
      <c r="P28" s="17">
        <f>O28/L28</f>
        <v>17.820682233622268</v>
      </c>
    </row>
    <row r="29" spans="1:16" x14ac:dyDescent="0.35">
      <c r="A29">
        <f t="shared" si="0"/>
        <v>25</v>
      </c>
      <c r="B29" s="1" t="s">
        <v>37</v>
      </c>
      <c r="C29" s="2">
        <v>3303867</v>
      </c>
      <c r="D29" s="2">
        <v>3963463</v>
      </c>
      <c r="E29" s="2">
        <v>4030600</v>
      </c>
      <c r="F29" s="2">
        <v>2478299</v>
      </c>
      <c r="G29" s="2">
        <v>2157358</v>
      </c>
      <c r="H29" s="2">
        <v>2811326</v>
      </c>
      <c r="I29" s="2">
        <v>2920281</v>
      </c>
      <c r="J29" s="2">
        <v>2967523</v>
      </c>
      <c r="K29" s="2">
        <v>3488724</v>
      </c>
      <c r="L29" s="2">
        <v>2703361</v>
      </c>
      <c r="M29" s="10">
        <f>'FY2025 BS by Fund'!C43</f>
        <v>4745545.28</v>
      </c>
      <c r="N29" s="1"/>
      <c r="O29" s="2">
        <f>M29-L29</f>
        <v>2042184.2800000003</v>
      </c>
      <c r="P29" s="17">
        <f>O29/L29</f>
        <v>0.75542418493127639</v>
      </c>
    </row>
    <row r="30" spans="1:16" x14ac:dyDescent="0.35">
      <c r="A30">
        <f t="shared" si="0"/>
        <v>26</v>
      </c>
      <c r="B30" s="1" t="s">
        <v>38</v>
      </c>
      <c r="C30" s="2">
        <v>11544614</v>
      </c>
      <c r="D30" s="2">
        <v>15339260</v>
      </c>
      <c r="E30" s="2">
        <v>18550551</v>
      </c>
      <c r="F30" s="2">
        <v>17237568</v>
      </c>
      <c r="G30" s="2">
        <v>11270502</v>
      </c>
      <c r="H30" s="2">
        <v>6876239</v>
      </c>
      <c r="I30" s="2">
        <v>11653470</v>
      </c>
      <c r="J30" s="2">
        <v>5356550</v>
      </c>
      <c r="K30" s="2">
        <v>4960343</v>
      </c>
      <c r="L30" s="2">
        <v>16281856</v>
      </c>
      <c r="M30" s="10">
        <f>'FY2025 BS by Fund'!C46</f>
        <v>12271409.73</v>
      </c>
      <c r="N30" s="1"/>
      <c r="O30" s="2">
        <f>M30-L30</f>
        <v>-4010446.2699999996</v>
      </c>
      <c r="P30" s="17">
        <f>O30/L30</f>
        <v>-0.24631382748993724</v>
      </c>
    </row>
    <row r="31" spans="1:16" x14ac:dyDescent="0.35">
      <c r="A31" s="13">
        <f t="shared" si="0"/>
        <v>27</v>
      </c>
      <c r="B31" s="14" t="s">
        <v>39</v>
      </c>
      <c r="C31" s="15">
        <v>15944282</v>
      </c>
      <c r="D31" s="15">
        <v>20430351</v>
      </c>
      <c r="E31" s="15">
        <v>23833105</v>
      </c>
      <c r="F31" s="15">
        <v>21111423</v>
      </c>
      <c r="G31" s="15">
        <v>14900044</v>
      </c>
      <c r="H31" s="15">
        <v>11240140</v>
      </c>
      <c r="I31" s="15">
        <v>15890150</v>
      </c>
      <c r="J31" s="15">
        <v>10063054</v>
      </c>
      <c r="K31" s="15">
        <v>10151221</v>
      </c>
      <c r="L31" s="15">
        <f>SUM(L28:L30)</f>
        <v>19053053</v>
      </c>
      <c r="M31" s="16">
        <f>SUM(M28:M30)</f>
        <v>18293674.810000002</v>
      </c>
      <c r="N31" s="1"/>
      <c r="O31" s="2">
        <f>M31-L31</f>
        <v>-759378.18999999762</v>
      </c>
      <c r="P31" s="17">
        <f>O31/L31</f>
        <v>-3.9855984760027573E-2</v>
      </c>
    </row>
    <row r="32" spans="1:16" x14ac:dyDescent="0.35">
      <c r="A32">
        <f t="shared" si="0"/>
        <v>28</v>
      </c>
      <c r="B32" s="1" t="s">
        <v>40</v>
      </c>
      <c r="C32" s="2">
        <v>93882885</v>
      </c>
      <c r="D32" s="2">
        <v>103393969</v>
      </c>
      <c r="E32" s="2">
        <v>110554823</v>
      </c>
      <c r="F32" s="2">
        <v>110566886</v>
      </c>
      <c r="G32" s="2">
        <v>107370173</v>
      </c>
      <c r="H32" s="2">
        <v>111689782</v>
      </c>
      <c r="I32" s="2">
        <v>114326160</v>
      </c>
      <c r="J32" s="2">
        <v>114165181</v>
      </c>
      <c r="K32" s="2">
        <v>119552747</v>
      </c>
      <c r="L32" s="2">
        <f>L20+L26+L31</f>
        <v>149172525</v>
      </c>
      <c r="M32" s="10">
        <f>M20+M26+M31</f>
        <v>140141393.97</v>
      </c>
      <c r="N32" s="1"/>
      <c r="O32" s="2">
        <f>M32-L32</f>
        <v>-9031131.0300000012</v>
      </c>
      <c r="P32" s="17">
        <f>O32/L32</f>
        <v>-6.0541517481184963E-2</v>
      </c>
    </row>
    <row r="33" spans="14:14" x14ac:dyDescent="0.35">
      <c r="N33" s="1"/>
    </row>
    <row r="34" spans="14:14" x14ac:dyDescent="0.35">
      <c r="N34" s="1"/>
    </row>
    <row r="35" spans="14:14" x14ac:dyDescent="0.35">
      <c r="N35" s="1"/>
    </row>
    <row r="36" spans="14:14" x14ac:dyDescent="0.35">
      <c r="N36" s="1"/>
    </row>
    <row r="37" spans="14:14" x14ac:dyDescent="0.35">
      <c r="N37" s="1"/>
    </row>
    <row r="38" spans="14:14" x14ac:dyDescent="0.35">
      <c r="N38" s="1"/>
    </row>
    <row r="39" spans="14:14" x14ac:dyDescent="0.35">
      <c r="N39" s="1"/>
    </row>
    <row r="40" spans="14:14" x14ac:dyDescent="0.35">
      <c r="N40" s="1"/>
    </row>
    <row r="41" spans="14:14" x14ac:dyDescent="0.35">
      <c r="N41" s="1"/>
    </row>
    <row r="42" spans="14:14" x14ac:dyDescent="0.35">
      <c r="N42" s="1"/>
    </row>
    <row r="43" spans="14:14" x14ac:dyDescent="0.35">
      <c r="N43" s="1"/>
    </row>
    <row r="44" spans="14:14" x14ac:dyDescent="0.35">
      <c r="N44" s="1"/>
    </row>
    <row r="45" spans="14:14" x14ac:dyDescent="0.35">
      <c r="N45" s="1"/>
    </row>
    <row r="46" spans="14:14" x14ac:dyDescent="0.35">
      <c r="N46" s="1"/>
    </row>
    <row r="47" spans="14:14" x14ac:dyDescent="0.35">
      <c r="N47" s="1"/>
    </row>
    <row r="48" spans="14:14" x14ac:dyDescent="0.35">
      <c r="N48" s="1"/>
    </row>
    <row r="49" spans="14:14" x14ac:dyDescent="0.35">
      <c r="N49" s="1"/>
    </row>
    <row r="50" spans="14:14" x14ac:dyDescent="0.35">
      <c r="N50" s="1"/>
    </row>
    <row r="51" spans="14:14" x14ac:dyDescent="0.35">
      <c r="N51" s="1"/>
    </row>
    <row r="52" spans="14:14" x14ac:dyDescent="0.35">
      <c r="N52" s="1"/>
    </row>
    <row r="53" spans="14:14" x14ac:dyDescent="0.35">
      <c r="N53" s="1"/>
    </row>
    <row r="54" spans="14:14" x14ac:dyDescent="0.35">
      <c r="N54" s="1"/>
    </row>
  </sheetData>
  <conditionalFormatting sqref="P5:P3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{1ABF4DDB-B147-4F50-8D1E-BAFD2323B2B0}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ABF4DDB-B147-4F50-8D1E-BAFD2323B2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P5:P32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5CF-38C8-4358-A10C-94D3F23B7053}">
  <dimension ref="A1:W48"/>
  <sheetViews>
    <sheetView workbookViewId="0">
      <selection activeCell="C35" activeCellId="1" sqref="C4 C35"/>
    </sheetView>
  </sheetViews>
  <sheetFormatPr defaultRowHeight="14.5" x14ac:dyDescent="0.35"/>
  <cols>
    <col min="1" max="1" width="4.1796875" bestFit="1" customWidth="1"/>
    <col min="2" max="2" width="47.26953125" customWidth="1"/>
    <col min="3" max="3" width="15.81640625" bestFit="1" customWidth="1"/>
    <col min="4" max="4" width="28.90625" bestFit="1" customWidth="1"/>
    <col min="5" max="5" width="18.90625" bestFit="1" customWidth="1"/>
    <col min="6" max="6" width="20.54296875" bestFit="1" customWidth="1"/>
    <col min="7" max="7" width="26.6328125" bestFit="1" customWidth="1"/>
    <col min="8" max="8" width="9.6328125" bestFit="1" customWidth="1"/>
    <col min="9" max="9" width="17.36328125" bestFit="1" customWidth="1"/>
    <col min="10" max="10" width="14.54296875" bestFit="1" customWidth="1"/>
    <col min="11" max="11" width="16.7265625" bestFit="1" customWidth="1"/>
    <col min="12" max="12" width="20.54296875" bestFit="1" customWidth="1"/>
    <col min="13" max="13" width="15.36328125" bestFit="1" customWidth="1"/>
    <col min="14" max="14" width="38.1796875" bestFit="1" customWidth="1"/>
    <col min="15" max="15" width="14.81640625" bestFit="1" customWidth="1"/>
    <col min="16" max="16" width="24" bestFit="1" customWidth="1"/>
    <col min="17" max="17" width="16.08984375" bestFit="1" customWidth="1"/>
    <col min="18" max="18" width="15.6328125" bestFit="1" customWidth="1"/>
    <col min="19" max="19" width="15" bestFit="1" customWidth="1"/>
    <col min="20" max="20" width="19.6328125" bestFit="1" customWidth="1"/>
    <col min="21" max="21" width="12.1796875" bestFit="1" customWidth="1"/>
    <col min="22" max="22" width="14.54296875" bestFit="1" customWidth="1"/>
    <col min="23" max="23" width="15.81640625" bestFit="1" customWidth="1"/>
  </cols>
  <sheetData>
    <row r="1" spans="1:23" x14ac:dyDescent="0.35">
      <c r="A1" s="4" t="s">
        <v>42</v>
      </c>
      <c r="B1" s="3" t="s">
        <v>43</v>
      </c>
      <c r="C1" s="3" t="s">
        <v>44</v>
      </c>
      <c r="D1" s="3" t="s">
        <v>92</v>
      </c>
      <c r="E1" s="3" t="s">
        <v>93</v>
      </c>
      <c r="F1" s="3" t="s">
        <v>94</v>
      </c>
      <c r="G1" s="3" t="s">
        <v>95</v>
      </c>
      <c r="H1" s="3" t="s">
        <v>96</v>
      </c>
      <c r="I1" s="3" t="s">
        <v>97</v>
      </c>
      <c r="J1" s="3" t="s">
        <v>98</v>
      </c>
      <c r="K1" s="3" t="s">
        <v>99</v>
      </c>
      <c r="L1" s="3" t="s">
        <v>100</v>
      </c>
      <c r="M1" s="3" t="s">
        <v>101</v>
      </c>
      <c r="N1" s="3" t="s">
        <v>102</v>
      </c>
      <c r="O1" s="3" t="s">
        <v>103</v>
      </c>
      <c r="P1" s="3" t="s">
        <v>104</v>
      </c>
      <c r="Q1" s="3" t="s">
        <v>105</v>
      </c>
      <c r="R1" s="3" t="s">
        <v>106</v>
      </c>
      <c r="S1" s="3" t="s">
        <v>107</v>
      </c>
      <c r="T1" s="3" t="s">
        <v>108</v>
      </c>
      <c r="U1" s="3" t="s">
        <v>109</v>
      </c>
      <c r="V1" s="3" t="s">
        <v>110</v>
      </c>
      <c r="W1" s="3" t="s">
        <v>111</v>
      </c>
    </row>
    <row r="2" spans="1:23" x14ac:dyDescent="0.35">
      <c r="A2" s="5"/>
      <c r="B2" t="s">
        <v>45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x14ac:dyDescent="0.35">
      <c r="A3" s="5">
        <v>1</v>
      </c>
      <c r="B3" t="s">
        <v>46</v>
      </c>
      <c r="C3" s="6">
        <v>43685677.009999998</v>
      </c>
      <c r="D3" s="6"/>
      <c r="E3" s="6">
        <v>1009917.3</v>
      </c>
      <c r="F3" s="6">
        <v>5560131.4000000004</v>
      </c>
      <c r="G3" s="6"/>
      <c r="H3" s="6"/>
      <c r="I3" s="6"/>
      <c r="J3" s="6"/>
      <c r="K3" s="6"/>
      <c r="L3" s="6"/>
      <c r="M3" s="6"/>
      <c r="N3" s="6">
        <v>9247528.6799999997</v>
      </c>
      <c r="O3" s="6">
        <v>9749455.3200000003</v>
      </c>
      <c r="P3" s="6">
        <v>391322.94</v>
      </c>
      <c r="Q3" s="6">
        <v>150040.26</v>
      </c>
      <c r="R3" s="6"/>
      <c r="S3" s="6">
        <v>6634724.4000000004</v>
      </c>
      <c r="T3" s="6">
        <v>15432280.779999999</v>
      </c>
      <c r="U3" s="6">
        <v>128731.32</v>
      </c>
      <c r="V3" s="6"/>
      <c r="W3" s="6">
        <v>91989809.409999996</v>
      </c>
    </row>
    <row r="4" spans="1:23" x14ac:dyDescent="0.35">
      <c r="A4" s="5">
        <v>2</v>
      </c>
      <c r="B4" t="s">
        <v>47</v>
      </c>
      <c r="C4" s="6">
        <v>84051991.069999993</v>
      </c>
      <c r="D4" s="6"/>
      <c r="E4" s="6"/>
      <c r="F4" s="6">
        <v>13000752.17</v>
      </c>
      <c r="G4" s="6"/>
      <c r="H4" s="6"/>
      <c r="I4" s="6"/>
      <c r="J4" s="6"/>
      <c r="K4" s="6"/>
      <c r="L4" s="6"/>
      <c r="M4" s="6"/>
      <c r="N4" s="6"/>
      <c r="O4" s="6">
        <v>13107010.380000001</v>
      </c>
      <c r="P4" s="6"/>
      <c r="Q4" s="6">
        <v>13469292.630000001</v>
      </c>
      <c r="R4" s="6"/>
      <c r="S4" s="6"/>
      <c r="T4" s="6"/>
      <c r="U4" s="6"/>
      <c r="V4" s="6"/>
      <c r="W4" s="6">
        <v>123629046.25</v>
      </c>
    </row>
    <row r="5" spans="1:23" x14ac:dyDescent="0.35">
      <c r="A5" s="5">
        <v>3</v>
      </c>
      <c r="B5" t="s">
        <v>48</v>
      </c>
      <c r="C5" s="6">
        <v>974445.71</v>
      </c>
      <c r="D5" s="6"/>
      <c r="E5" s="6">
        <v>408.62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>
        <v>974854.33</v>
      </c>
    </row>
    <row r="6" spans="1:23" x14ac:dyDescent="0.35">
      <c r="A6" s="5">
        <v>4</v>
      </c>
      <c r="B6" t="s">
        <v>49</v>
      </c>
      <c r="C6" s="6">
        <v>9638776.9800000004</v>
      </c>
      <c r="D6" s="6"/>
      <c r="E6" s="6"/>
      <c r="F6" s="6"/>
      <c r="G6" s="6"/>
      <c r="H6" s="6"/>
      <c r="I6" s="6"/>
      <c r="J6" s="6"/>
      <c r="K6" s="6"/>
      <c r="L6" s="6"/>
      <c r="M6" s="6"/>
      <c r="N6" s="6">
        <v>1994425.43</v>
      </c>
      <c r="O6" s="6"/>
      <c r="P6" s="6"/>
      <c r="Q6" s="6"/>
      <c r="R6" s="6"/>
      <c r="S6" s="6">
        <v>776618.35</v>
      </c>
      <c r="T6" s="6"/>
      <c r="U6" s="6"/>
      <c r="V6" s="6"/>
      <c r="W6" s="6">
        <v>12409820.76</v>
      </c>
    </row>
    <row r="7" spans="1:23" x14ac:dyDescent="0.35">
      <c r="A7" s="5">
        <v>5</v>
      </c>
      <c r="B7" t="s">
        <v>50</v>
      </c>
      <c r="C7" s="6">
        <v>487319.26</v>
      </c>
      <c r="D7" s="6"/>
      <c r="E7" s="6">
        <v>40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>
        <v>487359.26</v>
      </c>
    </row>
    <row r="8" spans="1:23" x14ac:dyDescent="0.35">
      <c r="A8" s="5">
        <v>6</v>
      </c>
      <c r="B8" t="s">
        <v>51</v>
      </c>
      <c r="C8" s="6">
        <v>53228.9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>
        <v>185193.53</v>
      </c>
      <c r="T8" s="6"/>
      <c r="U8" s="6"/>
      <c r="V8" s="6"/>
      <c r="W8" s="6">
        <v>238422.43</v>
      </c>
    </row>
    <row r="9" spans="1:23" x14ac:dyDescent="0.35">
      <c r="A9" s="5">
        <v>7</v>
      </c>
      <c r="B9" t="s">
        <v>52</v>
      </c>
      <c r="C9" s="6">
        <v>1223490.8999999999</v>
      </c>
      <c r="D9" s="6"/>
      <c r="E9" s="6"/>
      <c r="F9" s="6"/>
      <c r="G9" s="6"/>
      <c r="H9" s="6"/>
      <c r="I9" s="6"/>
      <c r="J9" s="6"/>
      <c r="K9" s="6"/>
      <c r="L9" s="6"/>
      <c r="M9" s="6"/>
      <c r="N9" s="6">
        <v>5626.87</v>
      </c>
      <c r="O9" s="6">
        <v>55252.93</v>
      </c>
      <c r="P9" s="6"/>
      <c r="Q9" s="6"/>
      <c r="R9" s="6"/>
      <c r="S9" s="6">
        <v>31098.16</v>
      </c>
      <c r="T9" s="6"/>
      <c r="U9" s="6"/>
      <c r="V9" s="6"/>
      <c r="W9" s="6">
        <v>1315468.8600000001</v>
      </c>
    </row>
    <row r="10" spans="1:23" x14ac:dyDescent="0.35">
      <c r="A10" s="5">
        <v>8</v>
      </c>
      <c r="B10" t="s">
        <v>53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3" x14ac:dyDescent="0.35">
      <c r="A11" s="5">
        <v>9</v>
      </c>
      <c r="B11" t="s">
        <v>54</v>
      </c>
      <c r="C11" s="6">
        <v>140114929.83000001</v>
      </c>
      <c r="D11" s="6"/>
      <c r="E11" s="6">
        <v>1010365.92</v>
      </c>
      <c r="F11" s="6">
        <v>18560883.57</v>
      </c>
      <c r="G11" s="6"/>
      <c r="H11" s="6"/>
      <c r="I11" s="6"/>
      <c r="J11" s="6"/>
      <c r="K11" s="6"/>
      <c r="L11" s="6"/>
      <c r="M11" s="6"/>
      <c r="N11" s="6">
        <v>11247580.98</v>
      </c>
      <c r="O11" s="6">
        <v>22911718.629999999</v>
      </c>
      <c r="P11" s="6">
        <v>391322.94</v>
      </c>
      <c r="Q11" s="6">
        <v>13619332.890000001</v>
      </c>
      <c r="R11" s="6"/>
      <c r="S11" s="6">
        <v>7627634.4400000004</v>
      </c>
      <c r="T11" s="6">
        <v>15432280.779999999</v>
      </c>
      <c r="U11" s="6">
        <v>128731.32</v>
      </c>
      <c r="V11" s="6"/>
      <c r="W11" s="6">
        <v>231044781.30000001</v>
      </c>
    </row>
    <row r="12" spans="1:23" x14ac:dyDescent="0.35">
      <c r="A12" s="5">
        <v>10</v>
      </c>
      <c r="B12" t="s">
        <v>55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>
        <v>990427.96</v>
      </c>
      <c r="T12" s="6"/>
      <c r="U12" s="6"/>
      <c r="V12" s="6"/>
      <c r="W12" s="6">
        <v>990427.96</v>
      </c>
    </row>
    <row r="13" spans="1:23" x14ac:dyDescent="0.35">
      <c r="A13" s="5">
        <v>11</v>
      </c>
      <c r="B13" t="s">
        <v>56</v>
      </c>
      <c r="C13" s="6">
        <v>140114929.83000001</v>
      </c>
      <c r="D13" s="6"/>
      <c r="E13" s="6">
        <v>1010365.92</v>
      </c>
      <c r="F13" s="6">
        <v>18560883.57</v>
      </c>
      <c r="G13" s="6"/>
      <c r="H13" s="6"/>
      <c r="I13" s="6"/>
      <c r="J13" s="6"/>
      <c r="K13" s="6"/>
      <c r="L13" s="6"/>
      <c r="M13" s="6"/>
      <c r="N13" s="6">
        <v>11247580.98</v>
      </c>
      <c r="O13" s="6">
        <v>22911718.629999999</v>
      </c>
      <c r="P13" s="6">
        <v>391322.94</v>
      </c>
      <c r="Q13" s="6">
        <v>13619332.890000001</v>
      </c>
      <c r="R13" s="6"/>
      <c r="S13" s="6">
        <v>8618062.4000000004</v>
      </c>
      <c r="T13" s="6">
        <v>15432280.779999999</v>
      </c>
      <c r="U13" s="6">
        <v>128731.32</v>
      </c>
      <c r="V13" s="6"/>
      <c r="W13" s="6">
        <v>232035209.25999999</v>
      </c>
    </row>
    <row r="14" spans="1:23" x14ac:dyDescent="0.35">
      <c r="A14" s="5"/>
      <c r="B14" t="s">
        <v>57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 x14ac:dyDescent="0.35">
      <c r="A15" s="5">
        <v>12</v>
      </c>
      <c r="B15" t="s">
        <v>58</v>
      </c>
      <c r="C15" s="6">
        <v>26464.14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>
        <v>26464.14</v>
      </c>
    </row>
    <row r="16" spans="1:23" x14ac:dyDescent="0.35">
      <c r="A16" s="5">
        <v>13</v>
      </c>
      <c r="B16" t="s">
        <v>59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>
        <v>400175</v>
      </c>
      <c r="T16" s="6"/>
      <c r="U16" s="6"/>
      <c r="V16" s="6"/>
      <c r="W16" s="6">
        <v>400175</v>
      </c>
    </row>
    <row r="17" spans="1:23" x14ac:dyDescent="0.35">
      <c r="A17" s="5">
        <v>14</v>
      </c>
      <c r="B17" t="s">
        <v>60</v>
      </c>
      <c r="C17" s="6">
        <v>26464.14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>
        <v>400175</v>
      </c>
      <c r="T17" s="6"/>
      <c r="U17" s="6"/>
      <c r="V17" s="6"/>
      <c r="W17" s="6">
        <v>426639.14</v>
      </c>
    </row>
    <row r="18" spans="1:23" x14ac:dyDescent="0.35">
      <c r="A18" s="5">
        <v>15</v>
      </c>
      <c r="B18" t="s">
        <v>61</v>
      </c>
      <c r="C18" s="6">
        <v>140141393.97</v>
      </c>
      <c r="D18" s="6"/>
      <c r="E18" s="6">
        <v>1010365.92</v>
      </c>
      <c r="F18" s="6">
        <v>18560883.57</v>
      </c>
      <c r="G18" s="6"/>
      <c r="H18" s="6"/>
      <c r="I18" s="6"/>
      <c r="J18" s="6"/>
      <c r="K18" s="6"/>
      <c r="L18" s="6"/>
      <c r="M18" s="6"/>
      <c r="N18" s="6">
        <v>11247580.98</v>
      </c>
      <c r="O18" s="6">
        <v>22911718.629999999</v>
      </c>
      <c r="P18" s="6">
        <v>391322.94</v>
      </c>
      <c r="Q18" s="6">
        <v>13619332.890000001</v>
      </c>
      <c r="R18" s="6"/>
      <c r="S18" s="6">
        <v>9018237.4000000004</v>
      </c>
      <c r="T18" s="6">
        <v>15432280.779999999</v>
      </c>
      <c r="U18" s="6">
        <v>128731.32</v>
      </c>
      <c r="V18" s="6"/>
      <c r="W18" s="6">
        <v>232461848.40000001</v>
      </c>
    </row>
    <row r="19" spans="1:23" x14ac:dyDescent="0.35">
      <c r="A19" s="5"/>
      <c r="B19" t="s">
        <v>62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3" x14ac:dyDescent="0.35">
      <c r="A20" s="5">
        <v>16</v>
      </c>
      <c r="B20" t="s">
        <v>63</v>
      </c>
      <c r="C20" s="6"/>
      <c r="D20" s="6"/>
      <c r="E20" s="6">
        <v>974854.33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>
        <v>974854.33</v>
      </c>
    </row>
    <row r="21" spans="1:23" x14ac:dyDescent="0.35">
      <c r="A21" s="5">
        <v>17</v>
      </c>
      <c r="B21" t="s">
        <v>64</v>
      </c>
      <c r="C21" s="6">
        <v>82776.27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>
        <v>82776.27</v>
      </c>
    </row>
    <row r="22" spans="1:23" x14ac:dyDescent="0.35">
      <c r="A22" s="5">
        <v>18</v>
      </c>
      <c r="B22" t="s">
        <v>65</v>
      </c>
      <c r="C22" s="6">
        <v>3038488.31</v>
      </c>
      <c r="D22" s="6"/>
      <c r="E22" s="6">
        <v>35511.589999999997</v>
      </c>
      <c r="F22" s="6"/>
      <c r="G22" s="6"/>
      <c r="H22" s="6"/>
      <c r="I22" s="6"/>
      <c r="J22" s="6"/>
      <c r="K22" s="6"/>
      <c r="L22" s="6"/>
      <c r="M22" s="6"/>
      <c r="N22" s="6">
        <v>957974.47</v>
      </c>
      <c r="O22" s="6">
        <v>1389410.33</v>
      </c>
      <c r="P22" s="6">
        <v>217583.55</v>
      </c>
      <c r="Q22" s="6"/>
      <c r="R22" s="6"/>
      <c r="S22" s="6">
        <v>49024.88</v>
      </c>
      <c r="T22" s="6"/>
      <c r="U22" s="6">
        <v>1629.36</v>
      </c>
      <c r="V22" s="6"/>
      <c r="W22" s="6">
        <v>5689622.4900000002</v>
      </c>
    </row>
    <row r="23" spans="1:23" x14ac:dyDescent="0.35">
      <c r="A23" s="5">
        <v>19</v>
      </c>
      <c r="B23" t="s">
        <v>66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>
        <v>1009828.9</v>
      </c>
      <c r="O23" s="6">
        <v>125561.73</v>
      </c>
      <c r="P23" s="6">
        <v>173739.39</v>
      </c>
      <c r="Q23" s="6"/>
      <c r="R23" s="6"/>
      <c r="S23" s="6"/>
      <c r="T23" s="6"/>
      <c r="U23" s="6"/>
      <c r="V23" s="6"/>
      <c r="W23" s="6">
        <v>1309130.02</v>
      </c>
    </row>
    <row r="24" spans="1:23" x14ac:dyDescent="0.35">
      <c r="A24" s="5">
        <v>20</v>
      </c>
      <c r="B24" t="s">
        <v>67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1:23" x14ac:dyDescent="0.35">
      <c r="A25" s="5">
        <v>21</v>
      </c>
      <c r="B25" t="s">
        <v>68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1:23" x14ac:dyDescent="0.35">
      <c r="A26" s="5">
        <v>22</v>
      </c>
      <c r="B26" t="s">
        <v>69</v>
      </c>
      <c r="C26" s="6">
        <v>13281045.189999999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>
        <v>27996.71</v>
      </c>
      <c r="O26" s="6"/>
      <c r="P26" s="6"/>
      <c r="Q26" s="6"/>
      <c r="R26" s="6"/>
      <c r="S26" s="6"/>
      <c r="T26" s="6">
        <v>1515321.47</v>
      </c>
      <c r="U26" s="6"/>
      <c r="V26" s="6"/>
      <c r="W26" s="6">
        <v>14824363.369999999</v>
      </c>
    </row>
    <row r="27" spans="1:23" x14ac:dyDescent="0.35">
      <c r="A27" s="5">
        <v>23</v>
      </c>
      <c r="B27" t="s">
        <v>70</v>
      </c>
      <c r="C27" s="6">
        <v>13514422.5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>
        <v>41584.660000000003</v>
      </c>
      <c r="O27" s="6"/>
      <c r="P27" s="6"/>
      <c r="Q27" s="6"/>
      <c r="R27" s="6"/>
      <c r="S27" s="6">
        <v>185981.78</v>
      </c>
      <c r="T27" s="6"/>
      <c r="U27" s="6">
        <v>535327.30000000005</v>
      </c>
      <c r="V27" s="6">
        <v>11167.5</v>
      </c>
      <c r="W27" s="6">
        <v>14288483.74</v>
      </c>
    </row>
    <row r="28" spans="1:23" x14ac:dyDescent="0.35">
      <c r="A28" s="5">
        <v>24</v>
      </c>
      <c r="B28" t="s">
        <v>71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56869.440000000002</v>
      </c>
      <c r="T28" s="6"/>
      <c r="U28" s="6"/>
      <c r="V28" s="6"/>
      <c r="W28" s="6">
        <v>56869.440000000002</v>
      </c>
    </row>
    <row r="29" spans="1:23" x14ac:dyDescent="0.35">
      <c r="A29" s="5">
        <v>25</v>
      </c>
      <c r="B29" t="s">
        <v>72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spans="1:23" x14ac:dyDescent="0.35">
      <c r="A30" s="5">
        <v>26</v>
      </c>
      <c r="B30" t="s">
        <v>73</v>
      </c>
      <c r="C30" s="6">
        <v>29916732.27</v>
      </c>
      <c r="D30" s="6"/>
      <c r="E30" s="6">
        <v>1010365.92</v>
      </c>
      <c r="F30" s="6"/>
      <c r="G30" s="6"/>
      <c r="H30" s="6"/>
      <c r="I30" s="6"/>
      <c r="J30" s="6"/>
      <c r="K30" s="6"/>
      <c r="L30" s="6"/>
      <c r="M30" s="6"/>
      <c r="N30" s="6">
        <v>2037384.74</v>
      </c>
      <c r="O30" s="6">
        <v>1514972.06</v>
      </c>
      <c r="P30" s="6">
        <v>391322.94</v>
      </c>
      <c r="Q30" s="6"/>
      <c r="R30" s="6"/>
      <c r="S30" s="6">
        <v>291876.09999999998</v>
      </c>
      <c r="T30" s="6">
        <v>2050648.77</v>
      </c>
      <c r="U30" s="6">
        <v>12796.86</v>
      </c>
      <c r="V30" s="6"/>
      <c r="W30" s="6">
        <v>37226099.659999996</v>
      </c>
    </row>
    <row r="31" spans="1:23" x14ac:dyDescent="0.35">
      <c r="A31" s="5">
        <v>27</v>
      </c>
      <c r="B31" t="s">
        <v>74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>
        <v>1249537</v>
      </c>
      <c r="T31" s="6"/>
      <c r="U31" s="6"/>
      <c r="V31" s="6"/>
      <c r="W31" s="6">
        <v>1249537</v>
      </c>
    </row>
    <row r="32" spans="1:23" x14ac:dyDescent="0.35">
      <c r="A32" s="5">
        <v>28</v>
      </c>
      <c r="B32" t="s">
        <v>75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>
        <v>315707.40999999997</v>
      </c>
      <c r="T32" s="6"/>
      <c r="U32" s="6"/>
      <c r="V32" s="6"/>
      <c r="W32" s="6">
        <v>315707.40999999997</v>
      </c>
    </row>
    <row r="33" spans="1:23" x14ac:dyDescent="0.35">
      <c r="A33" s="5">
        <v>29</v>
      </c>
      <c r="B33" t="s">
        <v>76</v>
      </c>
      <c r="C33" s="6">
        <v>29916732.27</v>
      </c>
      <c r="D33" s="6"/>
      <c r="E33" s="6">
        <v>1010365.92</v>
      </c>
      <c r="F33" s="6"/>
      <c r="G33" s="6"/>
      <c r="H33" s="6"/>
      <c r="I33" s="6"/>
      <c r="J33" s="6"/>
      <c r="K33" s="6"/>
      <c r="L33" s="6"/>
      <c r="M33" s="6"/>
      <c r="N33" s="6">
        <v>2037384.74</v>
      </c>
      <c r="O33" s="6">
        <v>1514972.06</v>
      </c>
      <c r="P33" s="6">
        <v>391322.94</v>
      </c>
      <c r="Q33" s="6"/>
      <c r="R33" s="6"/>
      <c r="S33" s="6">
        <v>1857120.51</v>
      </c>
      <c r="T33" s="6">
        <v>2050648.77</v>
      </c>
      <c r="U33" s="6">
        <v>12796.86</v>
      </c>
      <c r="V33" s="6"/>
      <c r="W33" s="6">
        <v>38791344.07</v>
      </c>
    </row>
    <row r="34" spans="1:23" x14ac:dyDescent="0.35">
      <c r="A34" s="5"/>
      <c r="B34" t="s">
        <v>77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spans="1:23" x14ac:dyDescent="0.35">
      <c r="A35" s="5">
        <v>30</v>
      </c>
      <c r="B35" t="s">
        <v>78</v>
      </c>
      <c r="C35" s="6">
        <v>83672536.810000002</v>
      </c>
      <c r="D35" s="6"/>
      <c r="E35" s="6"/>
      <c r="F35" s="6">
        <v>12942151.08</v>
      </c>
      <c r="G35" s="6"/>
      <c r="H35" s="6"/>
      <c r="I35" s="6"/>
      <c r="J35" s="6"/>
      <c r="K35" s="6"/>
      <c r="L35" s="6"/>
      <c r="M35" s="6"/>
      <c r="N35" s="6"/>
      <c r="O35" s="6">
        <v>13043374.869999999</v>
      </c>
      <c r="P35" s="6"/>
      <c r="Q35" s="6">
        <v>13403898.199999999</v>
      </c>
      <c r="R35" s="6"/>
      <c r="S35" s="6"/>
      <c r="T35" s="6"/>
      <c r="U35" s="6"/>
      <c r="V35" s="6"/>
      <c r="W35" s="6">
        <v>123061960.95999999</v>
      </c>
    </row>
    <row r="36" spans="1:23" x14ac:dyDescent="0.35">
      <c r="A36" s="5">
        <v>31</v>
      </c>
      <c r="B36" t="s">
        <v>79</v>
      </c>
      <c r="C36" s="6">
        <v>7070437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>
        <v>7070437</v>
      </c>
    </row>
    <row r="37" spans="1:23" x14ac:dyDescent="0.35">
      <c r="A37" s="5">
        <v>32</v>
      </c>
      <c r="B37" t="s">
        <v>80</v>
      </c>
      <c r="C37" s="6">
        <v>1188013.08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>
        <v>1188013.08</v>
      </c>
    </row>
    <row r="38" spans="1:23" x14ac:dyDescent="0.35">
      <c r="A38" s="5">
        <v>33</v>
      </c>
      <c r="B38" t="s">
        <v>81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>
        <v>64068</v>
      </c>
      <c r="T38" s="6"/>
      <c r="U38" s="6"/>
      <c r="V38" s="6"/>
      <c r="W38" s="6">
        <v>64068</v>
      </c>
    </row>
    <row r="39" spans="1:23" x14ac:dyDescent="0.35">
      <c r="A39" s="5">
        <v>34</v>
      </c>
      <c r="B39" t="s">
        <v>82</v>
      </c>
      <c r="C39" s="6">
        <v>91930986.890000001</v>
      </c>
      <c r="D39" s="6"/>
      <c r="E39" s="6"/>
      <c r="F39" s="6">
        <v>12942151.08</v>
      </c>
      <c r="G39" s="6"/>
      <c r="H39" s="6"/>
      <c r="I39" s="6"/>
      <c r="J39" s="6"/>
      <c r="K39" s="6"/>
      <c r="L39" s="6"/>
      <c r="M39" s="6"/>
      <c r="N39" s="6"/>
      <c r="O39" s="6">
        <v>13043374.869999999</v>
      </c>
      <c r="P39" s="6"/>
      <c r="Q39" s="6">
        <v>13403898.199999999</v>
      </c>
      <c r="R39" s="6"/>
      <c r="S39" s="6">
        <v>64068</v>
      </c>
      <c r="T39" s="6"/>
      <c r="U39" s="6"/>
      <c r="V39" s="6"/>
      <c r="W39" s="6">
        <v>131384479.04000001</v>
      </c>
    </row>
    <row r="40" spans="1:23" x14ac:dyDescent="0.35">
      <c r="A40" s="5"/>
      <c r="B40" t="s">
        <v>83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spans="1:23" x14ac:dyDescent="0.35">
      <c r="A41" s="5">
        <v>35</v>
      </c>
      <c r="B41" t="s">
        <v>84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>
        <v>990427.96</v>
      </c>
      <c r="T41" s="6">
        <v>13381632.01</v>
      </c>
      <c r="U41" s="6"/>
      <c r="V41" s="6"/>
      <c r="W41" s="6">
        <v>14372059.970000001</v>
      </c>
    </row>
    <row r="42" spans="1:23" x14ac:dyDescent="0.35">
      <c r="A42" s="5">
        <v>36</v>
      </c>
      <c r="B42" t="s">
        <v>85</v>
      </c>
      <c r="C42" s="6">
        <v>1276719.8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>
        <v>5626.87</v>
      </c>
      <c r="O42" s="6">
        <v>55252.93</v>
      </c>
      <c r="P42" s="6"/>
      <c r="Q42" s="6"/>
      <c r="R42" s="6"/>
      <c r="S42" s="6"/>
      <c r="T42" s="6"/>
      <c r="U42" s="6"/>
      <c r="V42" s="6"/>
      <c r="W42" s="6">
        <v>1337599.6000000001</v>
      </c>
    </row>
    <row r="43" spans="1:23" x14ac:dyDescent="0.35">
      <c r="A43" s="5">
        <v>37</v>
      </c>
      <c r="B43" t="s">
        <v>86</v>
      </c>
      <c r="C43" s="6">
        <v>4745545.28</v>
      </c>
      <c r="D43" s="6"/>
      <c r="E43" s="6"/>
      <c r="F43" s="6">
        <v>5618732.4900000002</v>
      </c>
      <c r="G43" s="6"/>
      <c r="H43" s="6"/>
      <c r="I43" s="6"/>
      <c r="J43" s="6"/>
      <c r="K43" s="6"/>
      <c r="L43" s="6"/>
      <c r="M43" s="6"/>
      <c r="N43" s="6">
        <v>9204569.3699999992</v>
      </c>
      <c r="O43" s="6">
        <v>8353371.7000000002</v>
      </c>
      <c r="P43" s="6">
        <v>916094.72</v>
      </c>
      <c r="Q43" s="6">
        <v>215434.69</v>
      </c>
      <c r="R43" s="6"/>
      <c r="S43" s="6"/>
      <c r="T43" s="6"/>
      <c r="U43" s="6">
        <v>86710.83</v>
      </c>
      <c r="V43" s="6"/>
      <c r="W43" s="6">
        <v>29140459.079999998</v>
      </c>
    </row>
    <row r="44" spans="1:23" x14ac:dyDescent="0.35">
      <c r="A44" s="5">
        <v>38</v>
      </c>
      <c r="B44" t="s">
        <v>87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spans="1:23" x14ac:dyDescent="0.35">
      <c r="A45" s="5">
        <v>39</v>
      </c>
      <c r="B45" t="s">
        <v>88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spans="1:23" x14ac:dyDescent="0.35">
      <c r="A46" s="5">
        <v>40</v>
      </c>
      <c r="B46" t="s">
        <v>89</v>
      </c>
      <c r="C46" s="6">
        <v>12271409.73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>
        <v>-55252.93</v>
      </c>
      <c r="P46" s="6">
        <v>-916094.72</v>
      </c>
      <c r="Q46" s="6"/>
      <c r="R46" s="6"/>
      <c r="S46" s="6">
        <v>6106620.9299999997</v>
      </c>
      <c r="T46" s="6"/>
      <c r="U46" s="6">
        <v>29223.63</v>
      </c>
      <c r="V46" s="6"/>
      <c r="W46" s="6">
        <v>17435906.640000001</v>
      </c>
    </row>
    <row r="47" spans="1:23" x14ac:dyDescent="0.35">
      <c r="A47" s="5">
        <v>41</v>
      </c>
      <c r="B47" t="s">
        <v>90</v>
      </c>
      <c r="C47" s="6">
        <v>18293674.809999999</v>
      </c>
      <c r="D47" s="6"/>
      <c r="E47" s="6"/>
      <c r="F47" s="6">
        <v>5618732.4900000002</v>
      </c>
      <c r="G47" s="6"/>
      <c r="H47" s="6"/>
      <c r="I47" s="6"/>
      <c r="J47" s="6"/>
      <c r="K47" s="6"/>
      <c r="L47" s="6"/>
      <c r="M47" s="6"/>
      <c r="N47" s="6">
        <v>9210196.2400000002</v>
      </c>
      <c r="O47" s="6">
        <v>8353371.7000000002</v>
      </c>
      <c r="P47" s="6"/>
      <c r="Q47" s="6">
        <v>215434.69</v>
      </c>
      <c r="R47" s="6"/>
      <c r="S47" s="6">
        <v>7097048.8899999997</v>
      </c>
      <c r="T47" s="6">
        <v>13381632.01</v>
      </c>
      <c r="U47" s="6">
        <v>115934.46</v>
      </c>
      <c r="V47" s="6"/>
      <c r="W47" s="6">
        <v>62286025.289999999</v>
      </c>
    </row>
    <row r="48" spans="1:23" x14ac:dyDescent="0.35">
      <c r="A48" s="5">
        <v>42</v>
      </c>
      <c r="B48" t="s">
        <v>91</v>
      </c>
      <c r="C48" s="6">
        <v>140141393.97</v>
      </c>
      <c r="D48" s="6"/>
      <c r="E48" s="6">
        <v>1010365.92</v>
      </c>
      <c r="F48" s="6">
        <v>18560883.57</v>
      </c>
      <c r="G48" s="6"/>
      <c r="H48" s="6"/>
      <c r="I48" s="6"/>
      <c r="J48" s="6"/>
      <c r="K48" s="6"/>
      <c r="L48" s="6"/>
      <c r="M48" s="6"/>
      <c r="N48" s="6">
        <v>11247580.98</v>
      </c>
      <c r="O48" s="6">
        <v>22911718.629999999</v>
      </c>
      <c r="P48" s="6">
        <v>391322.94</v>
      </c>
      <c r="Q48" s="6">
        <v>13619332.890000001</v>
      </c>
      <c r="R48" s="6"/>
      <c r="S48" s="6">
        <v>9018237.4000000004</v>
      </c>
      <c r="T48" s="6">
        <v>15432280.779999999</v>
      </c>
      <c r="U48" s="6">
        <v>128731.32</v>
      </c>
      <c r="V48" s="6"/>
      <c r="W48" s="6">
        <v>232461848.40000001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Iowa_City_CSD_General_Fund_Bala</vt:lpstr>
      <vt:lpstr>FY2025 BS by Fund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Parrott</cp:lastModifiedBy>
  <dcterms:created xsi:type="dcterms:W3CDTF">2026-06-22T22:50:27Z</dcterms:created>
  <dcterms:modified xsi:type="dcterms:W3CDTF">2026-06-22T23:55:49Z</dcterms:modified>
</cp:coreProperties>
</file>